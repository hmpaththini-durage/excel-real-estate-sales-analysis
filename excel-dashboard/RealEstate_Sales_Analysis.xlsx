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hma\Projects\3_Excel\excel-real-estate-sales-analysis\excel-dashboard\"/>
    </mc:Choice>
  </mc:AlternateContent>
  <xr:revisionPtr revIDLastSave="0" documentId="13_ncr:1_{C0D5CA2A-1690-4093-A5B5-700C72769B18}" xr6:coauthVersionLast="47" xr6:coauthVersionMax="47" xr10:uidLastSave="{00000000-0000-0000-0000-000000000000}"/>
  <bookViews>
    <workbookView xWindow="-108" yWindow="-108" windowWidth="23256" windowHeight="12456" activeTab="2" xr2:uid="{54C63E2F-24C0-4EF5-ACD2-A6A48F004402}"/>
  </bookViews>
  <sheets>
    <sheet name="Raw_Data" sheetId="4" r:id="rId1"/>
    <sheet name="Clean_Data" sheetId="2" r:id="rId2"/>
    <sheet name="Formulas" sheetId="3" r:id="rId3"/>
    <sheet name="Sheet1" sheetId="1" r:id="rId4"/>
  </sheets>
  <definedNames>
    <definedName name="ExternalData_1" localSheetId="1" hidden="1">Clean_Data!$A$1:$O$301</definedName>
    <definedName name="ExternalData_1" localSheetId="2" hidden="1">Formulas!$A$1:$P$301</definedName>
    <definedName name="ExternalData_2" localSheetId="0" hidden="1">Raw_Data!$A$1:$O$301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S149" i="3"/>
  <c r="S269" i="3"/>
  <c r="S275" i="3"/>
  <c r="R26" i="3"/>
  <c r="S26" i="3" s="1"/>
  <c r="R2" i="3"/>
  <c r="S2" i="3" s="1"/>
  <c r="R3" i="3"/>
  <c r="S3" i="3" s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R10" i="3"/>
  <c r="S10" i="3" s="1"/>
  <c r="R11" i="3"/>
  <c r="S11" i="3" s="1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35" i="3"/>
  <c r="S35" i="3" s="1"/>
  <c r="R36" i="3"/>
  <c r="S36" i="3" s="1"/>
  <c r="R37" i="3"/>
  <c r="S37" i="3" s="1"/>
  <c r="R38" i="3"/>
  <c r="S38" i="3" s="1"/>
  <c r="R39" i="3"/>
  <c r="S39" i="3" s="1"/>
  <c r="R40" i="3"/>
  <c r="S40" i="3" s="1"/>
  <c r="R41" i="3"/>
  <c r="S41" i="3" s="1"/>
  <c r="R42" i="3"/>
  <c r="S42" i="3" s="1"/>
  <c r="R43" i="3"/>
  <c r="S43" i="3" s="1"/>
  <c r="R44" i="3"/>
  <c r="S44" i="3" s="1"/>
  <c r="R45" i="3"/>
  <c r="S45" i="3" s="1"/>
  <c r="R46" i="3"/>
  <c r="S46" i="3" s="1"/>
  <c r="R47" i="3"/>
  <c r="S47" i="3" s="1"/>
  <c r="R48" i="3"/>
  <c r="S48" i="3" s="1"/>
  <c r="R49" i="3"/>
  <c r="S49" i="3" s="1"/>
  <c r="R50" i="3"/>
  <c r="S50" i="3" s="1"/>
  <c r="R51" i="3"/>
  <c r="S51" i="3" s="1"/>
  <c r="R52" i="3"/>
  <c r="S52" i="3" s="1"/>
  <c r="R53" i="3"/>
  <c r="S53" i="3" s="1"/>
  <c r="R54" i="3"/>
  <c r="S54" i="3" s="1"/>
  <c r="R55" i="3"/>
  <c r="S55" i="3" s="1"/>
  <c r="R56" i="3"/>
  <c r="S56" i="3" s="1"/>
  <c r="R57" i="3"/>
  <c r="S57" i="3" s="1"/>
  <c r="R58" i="3"/>
  <c r="S58" i="3" s="1"/>
  <c r="R59" i="3"/>
  <c r="S59" i="3" s="1"/>
  <c r="R60" i="3"/>
  <c r="S60" i="3" s="1"/>
  <c r="R61" i="3"/>
  <c r="S61" i="3" s="1"/>
  <c r="R62" i="3"/>
  <c r="S62" i="3" s="1"/>
  <c r="R63" i="3"/>
  <c r="S63" i="3" s="1"/>
  <c r="R64" i="3"/>
  <c r="S64" i="3" s="1"/>
  <c r="R65" i="3"/>
  <c r="S65" i="3" s="1"/>
  <c r="R66" i="3"/>
  <c r="S66" i="3" s="1"/>
  <c r="R67" i="3"/>
  <c r="S67" i="3" s="1"/>
  <c r="R68" i="3"/>
  <c r="S68" i="3" s="1"/>
  <c r="R69" i="3"/>
  <c r="S69" i="3" s="1"/>
  <c r="R70" i="3"/>
  <c r="S70" i="3" s="1"/>
  <c r="R71" i="3"/>
  <c r="S71" i="3" s="1"/>
  <c r="R72" i="3"/>
  <c r="S72" i="3" s="1"/>
  <c r="R73" i="3"/>
  <c r="S73" i="3" s="1"/>
  <c r="R74" i="3"/>
  <c r="S74" i="3" s="1"/>
  <c r="R75" i="3"/>
  <c r="S75" i="3" s="1"/>
  <c r="R76" i="3"/>
  <c r="S76" i="3" s="1"/>
  <c r="R77" i="3"/>
  <c r="S77" i="3" s="1"/>
  <c r="R78" i="3"/>
  <c r="S78" i="3" s="1"/>
  <c r="R79" i="3"/>
  <c r="S79" i="3" s="1"/>
  <c r="R80" i="3"/>
  <c r="S80" i="3" s="1"/>
  <c r="R81" i="3"/>
  <c r="S81" i="3" s="1"/>
  <c r="R82" i="3"/>
  <c r="S82" i="3" s="1"/>
  <c r="R83" i="3"/>
  <c r="S83" i="3" s="1"/>
  <c r="R84" i="3"/>
  <c r="S84" i="3" s="1"/>
  <c r="R85" i="3"/>
  <c r="S85" i="3" s="1"/>
  <c r="R86" i="3"/>
  <c r="S86" i="3" s="1"/>
  <c r="R87" i="3"/>
  <c r="S87" i="3" s="1"/>
  <c r="R88" i="3"/>
  <c r="S88" i="3" s="1"/>
  <c r="R89" i="3"/>
  <c r="S89" i="3" s="1"/>
  <c r="R90" i="3"/>
  <c r="S90" i="3" s="1"/>
  <c r="R91" i="3"/>
  <c r="S91" i="3" s="1"/>
  <c r="R92" i="3"/>
  <c r="S92" i="3" s="1"/>
  <c r="R93" i="3"/>
  <c r="S93" i="3" s="1"/>
  <c r="R94" i="3"/>
  <c r="S94" i="3" s="1"/>
  <c r="R95" i="3"/>
  <c r="S95" i="3" s="1"/>
  <c r="R96" i="3"/>
  <c r="S96" i="3" s="1"/>
  <c r="R97" i="3"/>
  <c r="S97" i="3" s="1"/>
  <c r="R98" i="3"/>
  <c r="S98" i="3" s="1"/>
  <c r="R99" i="3"/>
  <c r="S99" i="3" s="1"/>
  <c r="R100" i="3"/>
  <c r="S100" i="3" s="1"/>
  <c r="R101" i="3"/>
  <c r="S101" i="3" s="1"/>
  <c r="R102" i="3"/>
  <c r="S102" i="3" s="1"/>
  <c r="R103" i="3"/>
  <c r="S103" i="3" s="1"/>
  <c r="R104" i="3"/>
  <c r="S104" i="3" s="1"/>
  <c r="R105" i="3"/>
  <c r="S105" i="3" s="1"/>
  <c r="R106" i="3"/>
  <c r="S106" i="3" s="1"/>
  <c r="R107" i="3"/>
  <c r="S107" i="3" s="1"/>
  <c r="R108" i="3"/>
  <c r="S108" i="3" s="1"/>
  <c r="R109" i="3"/>
  <c r="S109" i="3" s="1"/>
  <c r="R110" i="3"/>
  <c r="S110" i="3" s="1"/>
  <c r="R111" i="3"/>
  <c r="S111" i="3" s="1"/>
  <c r="R112" i="3"/>
  <c r="S112" i="3" s="1"/>
  <c r="R113" i="3"/>
  <c r="S113" i="3" s="1"/>
  <c r="R114" i="3"/>
  <c r="S114" i="3" s="1"/>
  <c r="R115" i="3"/>
  <c r="S115" i="3" s="1"/>
  <c r="R116" i="3"/>
  <c r="S116" i="3" s="1"/>
  <c r="R117" i="3"/>
  <c r="S117" i="3" s="1"/>
  <c r="R118" i="3"/>
  <c r="S118" i="3" s="1"/>
  <c r="R119" i="3"/>
  <c r="S119" i="3" s="1"/>
  <c r="R120" i="3"/>
  <c r="S120" i="3" s="1"/>
  <c r="R121" i="3"/>
  <c r="S121" i="3" s="1"/>
  <c r="R122" i="3"/>
  <c r="S122" i="3" s="1"/>
  <c r="R123" i="3"/>
  <c r="S123" i="3" s="1"/>
  <c r="R124" i="3"/>
  <c r="S124" i="3" s="1"/>
  <c r="R125" i="3"/>
  <c r="S125" i="3" s="1"/>
  <c r="R126" i="3"/>
  <c r="S126" i="3" s="1"/>
  <c r="R127" i="3"/>
  <c r="S127" i="3" s="1"/>
  <c r="R128" i="3"/>
  <c r="S128" i="3" s="1"/>
  <c r="R129" i="3"/>
  <c r="S129" i="3" s="1"/>
  <c r="R130" i="3"/>
  <c r="S130" i="3" s="1"/>
  <c r="R131" i="3"/>
  <c r="S131" i="3" s="1"/>
  <c r="R132" i="3"/>
  <c r="S132" i="3" s="1"/>
  <c r="R133" i="3"/>
  <c r="S133" i="3" s="1"/>
  <c r="R134" i="3"/>
  <c r="S134" i="3" s="1"/>
  <c r="R135" i="3"/>
  <c r="S135" i="3" s="1"/>
  <c r="R136" i="3"/>
  <c r="S136" i="3" s="1"/>
  <c r="R137" i="3"/>
  <c r="S137" i="3" s="1"/>
  <c r="R138" i="3"/>
  <c r="S138" i="3" s="1"/>
  <c r="R139" i="3"/>
  <c r="S139" i="3" s="1"/>
  <c r="R140" i="3"/>
  <c r="S140" i="3" s="1"/>
  <c r="R141" i="3"/>
  <c r="S141" i="3" s="1"/>
  <c r="R142" i="3"/>
  <c r="S142" i="3" s="1"/>
  <c r="R143" i="3"/>
  <c r="S143" i="3" s="1"/>
  <c r="R144" i="3"/>
  <c r="S144" i="3" s="1"/>
  <c r="R145" i="3"/>
  <c r="S145" i="3" s="1"/>
  <c r="R146" i="3"/>
  <c r="S146" i="3" s="1"/>
  <c r="R147" i="3"/>
  <c r="S147" i="3" s="1"/>
  <c r="R148" i="3"/>
  <c r="S148" i="3" s="1"/>
  <c r="R149" i="3"/>
  <c r="R150" i="3"/>
  <c r="S150" i="3" s="1"/>
  <c r="R151" i="3"/>
  <c r="S151" i="3" s="1"/>
  <c r="R152" i="3"/>
  <c r="S152" i="3" s="1"/>
  <c r="R153" i="3"/>
  <c r="S153" i="3" s="1"/>
  <c r="R154" i="3"/>
  <c r="S154" i="3" s="1"/>
  <c r="R155" i="3"/>
  <c r="S155" i="3" s="1"/>
  <c r="R156" i="3"/>
  <c r="S156" i="3" s="1"/>
  <c r="R157" i="3"/>
  <c r="S157" i="3" s="1"/>
  <c r="R158" i="3"/>
  <c r="S158" i="3" s="1"/>
  <c r="R159" i="3"/>
  <c r="S159" i="3" s="1"/>
  <c r="R160" i="3"/>
  <c r="S160" i="3" s="1"/>
  <c r="R161" i="3"/>
  <c r="S161" i="3" s="1"/>
  <c r="R162" i="3"/>
  <c r="S162" i="3" s="1"/>
  <c r="R163" i="3"/>
  <c r="S163" i="3" s="1"/>
  <c r="R164" i="3"/>
  <c r="S164" i="3" s="1"/>
  <c r="R165" i="3"/>
  <c r="S165" i="3" s="1"/>
  <c r="R166" i="3"/>
  <c r="S166" i="3" s="1"/>
  <c r="R167" i="3"/>
  <c r="S167" i="3" s="1"/>
  <c r="R168" i="3"/>
  <c r="S168" i="3" s="1"/>
  <c r="R169" i="3"/>
  <c r="S169" i="3" s="1"/>
  <c r="R170" i="3"/>
  <c r="S170" i="3" s="1"/>
  <c r="R171" i="3"/>
  <c r="S171" i="3" s="1"/>
  <c r="R172" i="3"/>
  <c r="S172" i="3" s="1"/>
  <c r="R173" i="3"/>
  <c r="S173" i="3" s="1"/>
  <c r="R174" i="3"/>
  <c r="S174" i="3" s="1"/>
  <c r="R175" i="3"/>
  <c r="S175" i="3" s="1"/>
  <c r="R176" i="3"/>
  <c r="S176" i="3" s="1"/>
  <c r="R177" i="3"/>
  <c r="S177" i="3" s="1"/>
  <c r="R178" i="3"/>
  <c r="S178" i="3" s="1"/>
  <c r="R179" i="3"/>
  <c r="S179" i="3" s="1"/>
  <c r="R180" i="3"/>
  <c r="S180" i="3" s="1"/>
  <c r="R181" i="3"/>
  <c r="S181" i="3" s="1"/>
  <c r="R182" i="3"/>
  <c r="S182" i="3" s="1"/>
  <c r="R183" i="3"/>
  <c r="S183" i="3" s="1"/>
  <c r="R184" i="3"/>
  <c r="S184" i="3" s="1"/>
  <c r="R185" i="3"/>
  <c r="S185" i="3" s="1"/>
  <c r="R186" i="3"/>
  <c r="S186" i="3" s="1"/>
  <c r="R187" i="3"/>
  <c r="S187" i="3" s="1"/>
  <c r="R188" i="3"/>
  <c r="S188" i="3" s="1"/>
  <c r="R189" i="3"/>
  <c r="S189" i="3" s="1"/>
  <c r="R190" i="3"/>
  <c r="S190" i="3" s="1"/>
  <c r="R191" i="3"/>
  <c r="S191" i="3" s="1"/>
  <c r="R192" i="3"/>
  <c r="S192" i="3" s="1"/>
  <c r="R193" i="3"/>
  <c r="S193" i="3" s="1"/>
  <c r="R194" i="3"/>
  <c r="S194" i="3" s="1"/>
  <c r="R195" i="3"/>
  <c r="S195" i="3" s="1"/>
  <c r="R196" i="3"/>
  <c r="S196" i="3" s="1"/>
  <c r="R197" i="3"/>
  <c r="S197" i="3" s="1"/>
  <c r="R198" i="3"/>
  <c r="S198" i="3" s="1"/>
  <c r="R199" i="3"/>
  <c r="S199" i="3" s="1"/>
  <c r="R200" i="3"/>
  <c r="S200" i="3" s="1"/>
  <c r="R201" i="3"/>
  <c r="S201" i="3" s="1"/>
  <c r="R202" i="3"/>
  <c r="S202" i="3" s="1"/>
  <c r="R203" i="3"/>
  <c r="S203" i="3" s="1"/>
  <c r="R204" i="3"/>
  <c r="S204" i="3" s="1"/>
  <c r="R205" i="3"/>
  <c r="S205" i="3" s="1"/>
  <c r="R206" i="3"/>
  <c r="S206" i="3" s="1"/>
  <c r="R207" i="3"/>
  <c r="S207" i="3" s="1"/>
  <c r="R208" i="3"/>
  <c r="S208" i="3" s="1"/>
  <c r="R209" i="3"/>
  <c r="S209" i="3" s="1"/>
  <c r="R210" i="3"/>
  <c r="S210" i="3" s="1"/>
  <c r="R211" i="3"/>
  <c r="S211" i="3" s="1"/>
  <c r="R212" i="3"/>
  <c r="S212" i="3" s="1"/>
  <c r="R213" i="3"/>
  <c r="S213" i="3" s="1"/>
  <c r="R214" i="3"/>
  <c r="S214" i="3" s="1"/>
  <c r="R215" i="3"/>
  <c r="S215" i="3" s="1"/>
  <c r="R216" i="3"/>
  <c r="S216" i="3" s="1"/>
  <c r="R217" i="3"/>
  <c r="S217" i="3" s="1"/>
  <c r="R218" i="3"/>
  <c r="S218" i="3" s="1"/>
  <c r="R219" i="3"/>
  <c r="S219" i="3" s="1"/>
  <c r="R220" i="3"/>
  <c r="S220" i="3" s="1"/>
  <c r="R221" i="3"/>
  <c r="S221" i="3" s="1"/>
  <c r="R222" i="3"/>
  <c r="S222" i="3" s="1"/>
  <c r="R223" i="3"/>
  <c r="S223" i="3" s="1"/>
  <c r="R224" i="3"/>
  <c r="S224" i="3" s="1"/>
  <c r="R225" i="3"/>
  <c r="S225" i="3" s="1"/>
  <c r="R226" i="3"/>
  <c r="S226" i="3" s="1"/>
  <c r="R227" i="3"/>
  <c r="S227" i="3" s="1"/>
  <c r="R228" i="3"/>
  <c r="S228" i="3" s="1"/>
  <c r="R229" i="3"/>
  <c r="S229" i="3" s="1"/>
  <c r="R230" i="3"/>
  <c r="S230" i="3" s="1"/>
  <c r="R231" i="3"/>
  <c r="S231" i="3" s="1"/>
  <c r="R232" i="3"/>
  <c r="S232" i="3" s="1"/>
  <c r="R233" i="3"/>
  <c r="S233" i="3" s="1"/>
  <c r="R234" i="3"/>
  <c r="S234" i="3" s="1"/>
  <c r="R235" i="3"/>
  <c r="S235" i="3" s="1"/>
  <c r="R236" i="3"/>
  <c r="S236" i="3" s="1"/>
  <c r="R237" i="3"/>
  <c r="S237" i="3" s="1"/>
  <c r="R238" i="3"/>
  <c r="S238" i="3" s="1"/>
  <c r="R239" i="3"/>
  <c r="S239" i="3" s="1"/>
  <c r="R240" i="3"/>
  <c r="S240" i="3" s="1"/>
  <c r="R241" i="3"/>
  <c r="S241" i="3" s="1"/>
  <c r="R242" i="3"/>
  <c r="S242" i="3" s="1"/>
  <c r="R243" i="3"/>
  <c r="S243" i="3" s="1"/>
  <c r="R244" i="3"/>
  <c r="S244" i="3" s="1"/>
  <c r="R245" i="3"/>
  <c r="S245" i="3" s="1"/>
  <c r="R246" i="3"/>
  <c r="S246" i="3" s="1"/>
  <c r="R247" i="3"/>
  <c r="S247" i="3" s="1"/>
  <c r="R248" i="3"/>
  <c r="S248" i="3" s="1"/>
  <c r="R249" i="3"/>
  <c r="S249" i="3" s="1"/>
  <c r="R250" i="3"/>
  <c r="S250" i="3" s="1"/>
  <c r="R251" i="3"/>
  <c r="S251" i="3" s="1"/>
  <c r="R252" i="3"/>
  <c r="S252" i="3" s="1"/>
  <c r="R253" i="3"/>
  <c r="S253" i="3" s="1"/>
  <c r="R254" i="3"/>
  <c r="S254" i="3" s="1"/>
  <c r="R255" i="3"/>
  <c r="S255" i="3" s="1"/>
  <c r="R256" i="3"/>
  <c r="S256" i="3" s="1"/>
  <c r="R257" i="3"/>
  <c r="S257" i="3" s="1"/>
  <c r="R258" i="3"/>
  <c r="S258" i="3" s="1"/>
  <c r="R259" i="3"/>
  <c r="S259" i="3" s="1"/>
  <c r="R260" i="3"/>
  <c r="S260" i="3" s="1"/>
  <c r="R261" i="3"/>
  <c r="S261" i="3" s="1"/>
  <c r="R262" i="3"/>
  <c r="S262" i="3" s="1"/>
  <c r="R263" i="3"/>
  <c r="S263" i="3" s="1"/>
  <c r="R264" i="3"/>
  <c r="S264" i="3" s="1"/>
  <c r="R265" i="3"/>
  <c r="S265" i="3" s="1"/>
  <c r="R266" i="3"/>
  <c r="S266" i="3" s="1"/>
  <c r="R267" i="3"/>
  <c r="S267" i="3" s="1"/>
  <c r="R268" i="3"/>
  <c r="S268" i="3" s="1"/>
  <c r="R269" i="3"/>
  <c r="R270" i="3"/>
  <c r="S270" i="3" s="1"/>
  <c r="R271" i="3"/>
  <c r="S271" i="3" s="1"/>
  <c r="R272" i="3"/>
  <c r="S272" i="3" s="1"/>
  <c r="R273" i="3"/>
  <c r="S273" i="3" s="1"/>
  <c r="R274" i="3"/>
  <c r="S274" i="3" s="1"/>
  <c r="R275" i="3"/>
  <c r="R276" i="3"/>
  <c r="S276" i="3" s="1"/>
  <c r="R277" i="3"/>
  <c r="S277" i="3" s="1"/>
  <c r="R278" i="3"/>
  <c r="S278" i="3" s="1"/>
  <c r="R279" i="3"/>
  <c r="S279" i="3" s="1"/>
  <c r="R280" i="3"/>
  <c r="S280" i="3" s="1"/>
  <c r="R281" i="3"/>
  <c r="S281" i="3" s="1"/>
  <c r="R282" i="3"/>
  <c r="S282" i="3" s="1"/>
  <c r="R283" i="3"/>
  <c r="S283" i="3" s="1"/>
  <c r="R284" i="3"/>
  <c r="S284" i="3" s="1"/>
  <c r="R285" i="3"/>
  <c r="S285" i="3" s="1"/>
  <c r="R286" i="3"/>
  <c r="S286" i="3" s="1"/>
  <c r="R287" i="3"/>
  <c r="S287" i="3" s="1"/>
  <c r="R288" i="3"/>
  <c r="S288" i="3" s="1"/>
  <c r="R289" i="3"/>
  <c r="S289" i="3" s="1"/>
  <c r="R290" i="3"/>
  <c r="S290" i="3" s="1"/>
  <c r="R291" i="3"/>
  <c r="S291" i="3" s="1"/>
  <c r="R292" i="3"/>
  <c r="S292" i="3" s="1"/>
  <c r="R293" i="3"/>
  <c r="S293" i="3" s="1"/>
  <c r="R294" i="3"/>
  <c r="S294" i="3" s="1"/>
  <c r="R295" i="3"/>
  <c r="S295" i="3" s="1"/>
  <c r="R296" i="3"/>
  <c r="S296" i="3" s="1"/>
  <c r="R297" i="3"/>
  <c r="S297" i="3" s="1"/>
  <c r="R298" i="3"/>
  <c r="S298" i="3" s="1"/>
  <c r="R299" i="3"/>
  <c r="S299" i="3" s="1"/>
  <c r="R300" i="3"/>
  <c r="S300" i="3" s="1"/>
  <c r="R301" i="3"/>
  <c r="S301" i="3" s="1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1738C7-1551-4682-8917-9A588CFF7A47}" keepAlive="1" name="Query - realtor_property_sales_300_records" description="Connection to the 'realtor_property_sales_300_records' query in the workbook." type="5" refreshedVersion="8" background="1" saveData="1">
    <dbPr connection="Provider=Microsoft.Mashup.OleDb.1;Data Source=$Workbook$;Location=realtor_property_sales_300_records;Extended Properties=&quot;&quot;" command="SELECT * FROM [realtor_property_sales_300_records]"/>
  </connection>
  <connection id="2" xr16:uid="{8D7628AB-EBCE-42EB-8111-EAF05E53490E}" keepAlive="1" name="Query - realtor_property_sales_300_records (2)" description="Connection to the 'realtor_property_sales_300_records (2)' query in the workbook." type="5" refreshedVersion="8" background="1" saveData="1">
    <dbPr connection="Provider=Microsoft.Mashup.OleDb.1;Data Source=$Workbook$;Location=&quot;realtor_property_sales_300_records (2)&quot;;Extended Properties=&quot;&quot;" command="SELECT * FROM [realtor_property_sales_300_records (2)]"/>
  </connection>
  <connection id="3" xr16:uid="{28F212BC-62C7-41DE-A788-8B56CE22F2F2}" keepAlive="1" name="Query - realtor_property_sales_300_records (3)" description="Connection to the 'realtor_property_sales_300_records (3)' query in the workbook." type="5" refreshedVersion="8" background="1" saveData="1">
    <dbPr connection="Provider=Microsoft.Mashup.OleDb.1;Data Source=$Workbook$;Location=&quot;realtor_property_sales_300_records (3)&quot;;Extended Properties=&quot;&quot;" command="SELECT * FROM [realtor_property_sales_300_records (3)]"/>
  </connection>
</connections>
</file>

<file path=xl/sharedStrings.xml><?xml version="1.0" encoding="utf-8"?>
<sst xmlns="http://schemas.openxmlformats.org/spreadsheetml/2006/main" count="4553" uniqueCount="347">
  <si>
    <t>Property_ID</t>
  </si>
  <si>
    <t>City</t>
  </si>
  <si>
    <t>Property_Type</t>
  </si>
  <si>
    <t>Bedrooms</t>
  </si>
  <si>
    <t>Bathrooms</t>
  </si>
  <si>
    <t>Square_Feet</t>
  </si>
  <si>
    <t>Listing_Price</t>
  </si>
  <si>
    <t>Sale_Price</t>
  </si>
  <si>
    <t>List_Date</t>
  </si>
  <si>
    <t>Sale_Date</t>
  </si>
  <si>
    <t>Days_on_Market</t>
  </si>
  <si>
    <t>Realtor</t>
  </si>
  <si>
    <t>Status</t>
  </si>
  <si>
    <t>Commission_Rate</t>
  </si>
  <si>
    <t>Commission_Earned</t>
  </si>
  <si>
    <t>Price_Variance</t>
  </si>
  <si>
    <t>P0001</t>
  </si>
  <si>
    <t>Mississauga</t>
  </si>
  <si>
    <t>Detached</t>
  </si>
  <si>
    <t>Olivia Chen</t>
  </si>
  <si>
    <t>Pending</t>
  </si>
  <si>
    <t>P0002</t>
  </si>
  <si>
    <t>Scarborough</t>
  </si>
  <si>
    <t>Semi-Detached</t>
  </si>
  <si>
    <t>Sold</t>
  </si>
  <si>
    <t>P0003</t>
  </si>
  <si>
    <t>North York</t>
  </si>
  <si>
    <t>Lucas Brown</t>
  </si>
  <si>
    <t>Listed</t>
  </si>
  <si>
    <t>P0004</t>
  </si>
  <si>
    <t>Ava Singh</t>
  </si>
  <si>
    <t>P0005</t>
  </si>
  <si>
    <t>Vaughan</t>
  </si>
  <si>
    <t>Townhouse</t>
  </si>
  <si>
    <t>P0006</t>
  </si>
  <si>
    <t>Apartment</t>
  </si>
  <si>
    <t>P0007</t>
  </si>
  <si>
    <t>Brampton</t>
  </si>
  <si>
    <t>Condo</t>
  </si>
  <si>
    <t>Mia Garcia</t>
  </si>
  <si>
    <t>P0008</t>
  </si>
  <si>
    <t>Markham</t>
  </si>
  <si>
    <t>Ethan Lee</t>
  </si>
  <si>
    <t>P0009</t>
  </si>
  <si>
    <t>Noah Williams</t>
  </si>
  <si>
    <t>P0010</t>
  </si>
  <si>
    <t>P0011</t>
  </si>
  <si>
    <t>P0012</t>
  </si>
  <si>
    <t>Toronto</t>
  </si>
  <si>
    <t>P0013</t>
  </si>
  <si>
    <t>P0014</t>
  </si>
  <si>
    <t>Emma Rodriguez</t>
  </si>
  <si>
    <t>P0015</t>
  </si>
  <si>
    <t>Liam Patel</t>
  </si>
  <si>
    <t>P0016</t>
  </si>
  <si>
    <t>P0017</t>
  </si>
  <si>
    <t>P0018</t>
  </si>
  <si>
    <t>P0019</t>
  </si>
  <si>
    <t>P0020</t>
  </si>
  <si>
    <t>Etobicoke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</si>
  <si>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</si>
  <si>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</si>
  <si>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</si>
  <si>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</si>
  <si>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</si>
  <si>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</si>
  <si>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</si>
  <si>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</si>
  <si>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</si>
  <si>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</si>
  <si>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</si>
  <si>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</si>
  <si>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</si>
  <si>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</si>
  <si>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</si>
  <si>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</si>
  <si>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</si>
  <si>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</si>
  <si>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</si>
  <si>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</si>
  <si>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</si>
  <si>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</si>
  <si>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</si>
  <si>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</si>
  <si>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</si>
  <si>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</si>
  <si>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</si>
  <si>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</si>
  <si>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</si>
  <si>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</si>
  <si>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</si>
  <si>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</si>
  <si>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</si>
  <si>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</si>
  <si>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</si>
  <si>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</si>
  <si>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</si>
  <si>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</si>
  <si>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</si>
  <si>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</si>
  <si>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</si>
  <si>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</si>
  <si>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</si>
  <si>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</si>
  <si>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</si>
  <si>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</si>
  <si>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</si>
  <si>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</si>
  <si>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</si>
  <si>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</si>
  <si>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</si>
  <si>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</si>
  <si>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</si>
  <si>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</si>
  <si>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</si>
  <si>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</si>
  <si>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</si>
  <si>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</si>
  <si>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</si>
  <si>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</si>
  <si>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</si>
  <si>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</si>
  <si>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</si>
  <si>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</si>
  <si>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</si>
  <si>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</si>
  <si>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</si>
  <si>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</si>
  <si>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</si>
  <si>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</si>
  <si>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</si>
  <si>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</si>
  <si>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</si>
  <si>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</si>
  <si>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</si>
  <si>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</si>
  <si>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</si>
  <si>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</si>
  <si>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</si>
  <si>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</si>
  <si>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</si>
  <si>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</si>
  <si>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</si>
  <si>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</si>
  <si>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</si>
  <si>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</si>
  <si>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</si>
  <si>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</si>
  <si>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</si>
  <si>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</si>
  <si>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</si>
  <si>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</si>
  <si>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</si>
  <si>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</si>
  <si>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</si>
  <si>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</si>
  <si>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</si>
  <si>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</si>
  <si>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</si>
  <si>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</si>
  <si>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</si>
  <si>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</si>
  <si>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</si>
  <si>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</si>
  <si>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</si>
  <si>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</si>
  <si>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</si>
  <si>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</si>
  <si>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</si>
  <si>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</si>
  <si>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</si>
  <si>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</si>
  <si>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</si>
  <si>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</si>
  <si>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</si>
  <si>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</si>
  <si>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</si>
  <si>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</si>
  <si>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</si>
  <si>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</si>
  <si>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</si>
  <si>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</si>
  <si>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</si>
  <si>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</si>
  <si>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</si>
  <si>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</si>
  <si>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</si>
  <si>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</si>
  <si>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</si>
  <si>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</si>
  <si>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</si>
  <si>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</si>
  <si>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</si>
  <si>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</si>
  <si>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</si>
  <si>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</si>
  <si>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</si>
  <si>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</si>
  <si>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</si>
  <si>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</si>
  <si>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</si>
  <si>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</si>
  <si>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</si>
  <si>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</si>
  <si>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</si>
  <si>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</si>
  <si>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</si>
  <si>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</si>
  <si>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</si>
  <si>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</si>
  <si>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</si>
  <si>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</si>
  <si>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</si>
  <si>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</si>
  <si>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</si>
  <si>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</si>
  <si>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</si>
  <si>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</si>
  <si>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</si>
  <si>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</si>
  <si>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</si>
  <si>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</si>
  <si>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</si>
  <si>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</si>
  <si>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</si>
  <si>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</si>
  <si>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</si>
  <si>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</si>
  <si>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</si>
  <si>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</si>
  <si>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</si>
  <si>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</si>
  <si>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</si>
  <si>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</si>
  <si>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</si>
  <si>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</si>
  <si>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</si>
  <si>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</si>
  <si>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</si>
  <si>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</si>
  <si>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</si>
  <si>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</si>
  <si>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</si>
  <si>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</si>
  <si>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</si>
  <si>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</si>
  <si>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</si>
  <si>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</si>
  <si>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</si>
  <si>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</si>
  <si>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</si>
  <si>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</si>
  <si>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</si>
  <si>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</si>
  <si>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</si>
  <si>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</si>
  <si>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</si>
  <si>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</si>
  <si>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</si>
  <si>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</si>
  <si>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</si>
  <si>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</si>
  <si>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</si>
  <si>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</si>
  <si>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</si>
  <si>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</si>
  <si>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</si>
  <si>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</si>
  <si>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</si>
  <si>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</si>
  <si>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</si>
  <si>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</si>
  <si>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</si>
  <si>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</si>
  <si>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</si>
  <si>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</si>
  <si>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</si>
  <si>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</si>
  <si>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</si>
  <si>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</si>
  <si>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</si>
  <si>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</si>
  <si>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</si>
  <si>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</si>
  <si>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</si>
  <si>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</si>
  <si>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</si>
  <si>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</si>
  <si>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</si>
  <si>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</si>
  <si>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</si>
  <si>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</si>
  <si>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</si>
  <si>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</si>
  <si>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</si>
  <si>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</si>
  <si>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</si>
  <si>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</si>
  <si>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</si>
  <si>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</si>
  <si>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</si>
  <si>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</si>
  <si>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</si>
  <si>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</si>
  <si>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</si>
  <si>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</si>
  <si>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</si>
  <si>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</si>
  <si>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</si>
  <si>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</si>
  <si>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</si>
  <si>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</si>
  <si>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</si>
  <si>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</si>
  <si>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</si>
  <si>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</si>
  <si>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</si>
  <si>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</si>
  <si>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</si>
  <si>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</si>
  <si>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</si>
  <si>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</si>
  <si>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</si>
  <si>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</si>
  <si>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</si>
  <si>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</si>
  <si>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</si>
  <si>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</si>
  <si>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</si>
  <si>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</si>
  <si>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</si>
  <si>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</si>
  <si>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</si>
  <si>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</si>
  <si>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</si>
  <si>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</si>
  <si>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</si>
  <si>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</si>
  <si>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</si>
  <si>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</si>
  <si>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Price_Category</t>
  </si>
  <si>
    <t>Calculated_Commission</t>
  </si>
  <si>
    <t>Validation</t>
  </si>
  <si>
    <t>Sale_Year</t>
  </si>
  <si>
    <t>Sale_Month</t>
  </si>
  <si>
    <t>End_of_Month</t>
  </si>
  <si>
    <t>Market_Performance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</si>
</sst>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Font="1"/>
    <xf numFmtId="4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CC64078-02CB-4E5E-9C3A-7E6F7E468EEC}" autoFormatId="16" applyNumberFormats="0" applyBorderFormats="0" applyFontFormats="0" applyPatternFormats="0" applyAlignmentFormats="0" applyWidthHeightFormats="0">
  <queryTableRefresh nextId="16">
    <queryTableFields count="15">
      <queryTableField id="1" name="Property_ID" tableColumnId="1"/>
      <queryTableField id="2" name="City" tableColumnId="2"/>
      <queryTableField id="3" name="Property_Type" tableColumnId="3"/>
      <queryTableField id="4" name="Bedrooms" tableColumnId="4"/>
      <queryTableField id="5" name="Bathrooms" tableColumnId="5"/>
      <queryTableField id="6" name="Square_Feet" tableColumnId="6"/>
      <queryTableField id="7" name="Listing_Price" tableColumnId="7"/>
      <queryTableField id="8" name="Sale_Price" tableColumnId="8"/>
      <queryTableField id="9" name="List_Date" tableColumnId="9"/>
      <queryTableField id="10" name="Sale_Date" tableColumnId="10"/>
      <queryTableField id="11" name="Days_on_Market" tableColumnId="11"/>
      <queryTableField id="12" name="Realtor" tableColumnId="12"/>
      <queryTableField id="13" name="Status" tableColumnId="13"/>
      <queryTableField id="14" name="Commission_Rate" tableColumnId="14"/>
      <queryTableField id="15" name="Commission_Earne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803EC7-8B57-4D2D-BD45-3EB70B157E07}" autoFormatId="16" applyNumberFormats="0" applyBorderFormats="0" applyFontFormats="0" applyPatternFormats="0" applyAlignmentFormats="0" applyWidthHeightFormats="0">
  <queryTableRefresh nextId="17">
    <queryTableFields count="15">
      <queryTableField id="1" name="Property_ID" tableColumnId="1"/>
      <queryTableField id="2" name="City" tableColumnId="2"/>
      <queryTableField id="3" name="Property_Type" tableColumnId="3"/>
      <queryTableField id="4" name="Bedrooms" tableColumnId="4"/>
      <queryTableField id="5" name="Bathrooms" tableColumnId="5"/>
      <queryTableField id="6" name="Square_Feet" tableColumnId="6"/>
      <queryTableField id="7" name="Listing_Price" tableColumnId="7"/>
      <queryTableField id="8" name="Sale_Price" tableColumnId="8"/>
      <queryTableField id="9" name="List_Date" tableColumnId="9"/>
      <queryTableField id="10" name="Sale_Date" tableColumnId="10"/>
      <queryTableField id="11" name="Days_on_Market" tableColumnId="11"/>
      <queryTableField id="12" name="Realtor" tableColumnId="12"/>
      <queryTableField id="13" name="Status" tableColumnId="13"/>
      <queryTableField id="14" name="Commission_Rate" tableColumnId="14"/>
      <queryTableField id="15" name="Commission_Earned" tableColumnId="15"/>
    </queryTableFields>
    <queryTableDeletedFields count="1">
      <deletedField name="Price_Varianc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1D8655-1983-47EE-BC4D-65DC478CDAC1}" autoFormatId="16" applyNumberFormats="0" applyBorderFormats="0" applyFontFormats="0" applyPatternFormats="0" applyAlignmentFormats="0" applyWidthHeightFormats="0">
  <queryTableRefresh nextId="24" unboundColumnsRight="7">
    <queryTableFields count="23">
      <queryTableField id="1" name="Property_ID" tableColumnId="1"/>
      <queryTableField id="2" name="City" tableColumnId="2"/>
      <queryTableField id="3" name="Property_Type" tableColumnId="3"/>
      <queryTableField id="4" name="Bedrooms" tableColumnId="4"/>
      <queryTableField id="5" name="Bathrooms" tableColumnId="5"/>
      <queryTableField id="6" name="Square_Feet" tableColumnId="6"/>
      <queryTableField id="7" name="Listing_Price" tableColumnId="7"/>
      <queryTableField id="8" name="Sale_Price" tableColumnId="8"/>
      <queryTableField id="9" name="List_Date" tableColumnId="9"/>
      <queryTableField id="10" name="Sale_Date" tableColumnId="10"/>
      <queryTableField id="11" name="Days_on_Market" tableColumnId="11"/>
      <queryTableField id="12" name="Realtor" tableColumnId="12"/>
      <queryTableField id="13" name="Status" tableColumnId="13"/>
      <queryTableField id="14" name="Commission_Rate" tableColumnId="14"/>
      <queryTableField id="15" name="Commission_Earned" tableColumnId="15"/>
      <queryTableField id="16" name="Price_Variance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FEE643-EC62-4E05-95D7-A997EB6A0780}" name="realtor_property_sales_300_records__3" displayName="realtor_property_sales_300_records__3" ref="A1:O301" tableType="queryTable" totalsRowShown="0">
  <autoFilter ref="A1:O301" xr:uid="{AAFEE643-EC62-4E05-95D7-A997EB6A0780}"/>
  <tableColumns count="15">
    <tableColumn id="1" xr3:uid="{CAA11347-EA66-4934-994F-D51F3FDFC57E}" uniqueName="1" name="Property_ID" queryTableFieldId="1" dataDxfId="6"/>
    <tableColumn id="2" xr3:uid="{BF774A15-58FB-472B-903C-ACA716E81A02}" uniqueName="2" name="City" queryTableFieldId="2" dataDxfId="5"/>
    <tableColumn id="3" xr3:uid="{2A71681C-7660-45FA-BF81-85D8AC1BAE3D}" uniqueName="3" name="Property_Type" queryTableFieldId="3" dataDxfId="4"/>
    <tableColumn id="4" xr3:uid="{4EDA5532-6907-49AF-B209-B53064F2BA0C}" uniqueName="4" name="Bedrooms" queryTableFieldId="4"/>
    <tableColumn id="5" xr3:uid="{C97988F2-C1D2-4C84-943B-68EB19696E55}" uniqueName="5" name="Bathrooms" queryTableFieldId="5"/>
    <tableColumn id="6" xr3:uid="{084E696B-C06B-402E-A965-EFB828C1FEFD}" uniqueName="6" name="Square_Feet" queryTableFieldId="6"/>
    <tableColumn id="7" xr3:uid="{ABCB1A28-EAA2-46A4-8213-F185941B5FD5}" uniqueName="7" name="Listing_Price" queryTableFieldId="7"/>
    <tableColumn id="8" xr3:uid="{CF74DC0A-2A64-498C-98EF-CEE5819CAC93}" uniqueName="8" name="Sale_Price" queryTableFieldId="8"/>
    <tableColumn id="9" xr3:uid="{95BB86F1-D0A1-4E99-9495-D83516F5AA71}" uniqueName="9" name="List_Date" queryTableFieldId="9" dataDxfId="3"/>
    <tableColumn id="10" xr3:uid="{83B27A11-B9AA-48D2-B7B5-73BBFDD578C8}" uniqueName="10" name="Sale_Date" queryTableFieldId="10" dataDxfId="2"/>
    <tableColumn id="11" xr3:uid="{E3F697FC-B9FF-4A9E-B79C-88690F27B0DE}" uniqueName="11" name="Days_on_Market" queryTableFieldId="11"/>
    <tableColumn id="12" xr3:uid="{2A535AC8-7118-4646-9ABD-AEA5FF6F5B01}" uniqueName="12" name="Realtor" queryTableFieldId="12" dataDxfId="1"/>
    <tableColumn id="13" xr3:uid="{14E76E3A-79B7-43DB-88CC-323765291861}" uniqueName="13" name="Status" queryTableFieldId="13" dataDxfId="0"/>
    <tableColumn id="14" xr3:uid="{34365B11-B8D4-4D46-95E4-20B19DDBFD09}" uniqueName="14" name="Commission_Rate" queryTableFieldId="14"/>
    <tableColumn id="15" xr3:uid="{AF458617-9370-4377-A416-BB7F7BECA689}" uniqueName="15" name="Commission_Earned" queryTableField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03AA2-DCDC-49AA-9494-18F062123136}" name="tbl_sales" displayName="tbl_sales" ref="A1:O301" tableType="queryTable" totalsRowShown="0">
  <autoFilter ref="A1:O301" xr:uid="{17B03AA2-DCDC-49AA-9494-18F062123136}"/>
  <tableColumns count="15">
    <tableColumn id="1" xr3:uid="{4196756B-4AC7-415A-B8E4-60EB3C70F371}" uniqueName="1" name="Property_ID" queryTableFieldId="1" dataDxfId="27"/>
    <tableColumn id="2" xr3:uid="{D71908C3-7493-4C75-9853-7DF9160C6E26}" uniqueName="2" name="City" queryTableFieldId="2" dataDxfId="26"/>
    <tableColumn id="3" xr3:uid="{E0C93025-ABE4-49E9-88BA-8AE8004EED0C}" uniqueName="3" name="Property_Type" queryTableFieldId="3" dataDxfId="25"/>
    <tableColumn id="4" xr3:uid="{3AFFC5AC-EB37-4F76-ADE6-D139EFD62DD1}" uniqueName="4" name="Bedrooms" queryTableFieldId="4"/>
    <tableColumn id="5" xr3:uid="{0177FFFE-1A0B-491F-AE54-E0BE5DAE3960}" uniqueName="5" name="Bathrooms" queryTableFieldId="5"/>
    <tableColumn id="6" xr3:uid="{73E3F5DA-2604-4C6E-9927-770085A26479}" uniqueName="6" name="Square_Feet" queryTableFieldId="6"/>
    <tableColumn id="7" xr3:uid="{F153BDEF-DA4B-4C55-819F-53AA8105D51C}" uniqueName="7" name="Listing_Price" queryTableFieldId="7"/>
    <tableColumn id="8" xr3:uid="{1992A2E6-09CD-4251-891E-6B0798A17B59}" uniqueName="8" name="Sale_Price" queryTableFieldId="8"/>
    <tableColumn id="9" xr3:uid="{DF965BFD-76BB-417B-A0EB-E1A57BC5CAFA}" uniqueName="9" name="List_Date" queryTableFieldId="9" dataDxfId="24"/>
    <tableColumn id="10" xr3:uid="{A7D21CAB-86A4-4884-AB7A-16DCD738E2BC}" uniqueName="10" name="Sale_Date" queryTableFieldId="10" dataDxfId="23"/>
    <tableColumn id="11" xr3:uid="{71045EF6-0E10-4B3F-9B78-F66E7AE76691}" uniqueName="11" name="Days_on_Market" queryTableFieldId="11"/>
    <tableColumn id="12" xr3:uid="{5FDA2AFA-513F-45D6-ABB8-AA3D7595044D}" uniqueName="12" name="Realtor" queryTableFieldId="12" dataDxfId="22"/>
    <tableColumn id="13" xr3:uid="{9DA7603F-D1EE-4474-AC99-9908F8B1A025}" uniqueName="13" name="Status" queryTableFieldId="13" dataDxfId="21"/>
    <tableColumn id="14" xr3:uid="{C3F35290-7A3B-4371-A854-73F877164C03}" uniqueName="14" name="Commission_Rate" queryTableFieldId="14"/>
    <tableColumn id="15" xr3:uid="{1B4A89A5-613F-4F95-9EE6-06064EB64557}" uniqueName="15" name="Commission_Earned" queryTableFieldId="15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F32B4F-5004-492B-80AA-FD1392C93A04}" name="tbl_sales3" displayName="tbl_sales3" ref="A1:W301" tableType="queryTable" totalsRowShown="0">
  <autoFilter ref="A1:W301" xr:uid="{17B03AA2-DCDC-49AA-9494-18F062123136}"/>
  <tableColumns count="23">
    <tableColumn id="1" xr3:uid="{9967895E-DD1B-4415-93E6-CCF1196C1E82}" uniqueName="1" name="Property_ID" queryTableFieldId="1" dataDxfId="20"/>
    <tableColumn id="2" xr3:uid="{881A89C8-7914-4AD6-AB91-07770C4BAC2A}" uniqueName="2" name="City" queryTableFieldId="2" dataDxfId="19"/>
    <tableColumn id="3" xr3:uid="{2167D1B1-0635-46A8-803D-3C42F99EE525}" uniqueName="3" name="Property_Type" queryTableFieldId="3" dataDxfId="18"/>
    <tableColumn id="4" xr3:uid="{C464996B-7776-4DAB-866B-D0C26626F164}" uniqueName="4" name="Bedrooms" queryTableFieldId="4"/>
    <tableColumn id="5" xr3:uid="{5728DDAB-1D7A-471B-BF8A-0424E7A6C1F9}" uniqueName="5" name="Bathrooms" queryTableFieldId="5"/>
    <tableColumn id="6" xr3:uid="{6021E322-7541-438B-97C1-C87582DDFF22}" uniqueName="6" name="Square_Feet" queryTableFieldId="6"/>
    <tableColumn id="7" xr3:uid="{F49304BB-C7DE-4E08-815B-960CB6310497}" uniqueName="7" name="Listing_Price" queryTableFieldId="7"/>
    <tableColumn id="8" xr3:uid="{FB906F57-A97A-43D5-9130-48A86766E206}" uniqueName="8" name="Sale_Price" queryTableFieldId="8"/>
    <tableColumn id="9" xr3:uid="{9ADB7C9E-1C5B-4D5E-A9A2-7D995B687461}" uniqueName="9" name="List_Date" queryTableFieldId="9" dataDxfId="17"/>
    <tableColumn id="10" xr3:uid="{A779C224-4DAC-4601-B5E4-EC3AC4703E0A}" uniqueName="10" name="Sale_Date" queryTableFieldId="10" dataDxfId="16"/>
    <tableColumn id="11" xr3:uid="{4D57E56F-31EC-4D38-80B6-474FAEC8B5FC}" uniqueName="11" name="Days_on_Market" queryTableFieldId="11"/>
    <tableColumn id="12" xr3:uid="{D1EBA6D4-F477-4CD4-951D-2DEE136E7390}" uniqueName="12" name="Realtor" queryTableFieldId="12" dataDxfId="15"/>
    <tableColumn id="13" xr3:uid="{94CBF452-4D1E-4FA2-AA2F-E3E18B2385CF}" uniqueName="13" name="Status" queryTableFieldId="13" dataDxfId="14"/>
    <tableColumn id="14" xr3:uid="{E748F519-B4DD-4EBA-9587-A14619559BBC}" uniqueName="14" name="Commission_Rate" queryTableFieldId="14"/>
    <tableColumn id="15" xr3:uid="{5DED0EB7-E417-44C0-ADB4-FB576C960F20}" uniqueName="15" name="Commission_Earned" queryTableFieldId="15"/>
    <tableColumn id="16" xr3:uid="{ED8ACD0E-2D0C-4F32-B783-5C22C4C94ABE}" uniqueName="16" name="Price_Variance" queryTableFieldId="16"/>
    <tableColumn id="17" xr3:uid="{7CE5646B-CF13-47E9-9D24-C19AEE81486C}" uniqueName="17" name="Price_Category" queryTableFieldId="17" dataDxfId="13">
      <calculatedColumnFormula>IF(tbl_sales3[[#This Row],[Sale_Price]]&lt;500000,"Budget",
IF(tbl_sales3[[#This Row],[Sale_Price]]&lt;1000000,"Mid-Range",
"Luxury"))</calculatedColumnFormula>
    </tableColumn>
    <tableColumn id="18" xr3:uid="{37E589D9-36C8-48B5-9DB2-08D5E074E762}" uniqueName="18" name="Calculated_Commission" queryTableFieldId="18" dataDxfId="12">
      <calculatedColumnFormula>IFERROR(tbl_sales3[[#This Row],[Sale_Price]]*tbl_sales3[[#This Row],[Commission_Rate]],0)</calculatedColumnFormula>
    </tableColumn>
    <tableColumn id="19" xr3:uid="{182B03A5-233A-4D27-97B1-F9924D932866}" uniqueName="19" name="Validation" queryTableFieldId="19" dataDxfId="11">
      <calculatedColumnFormula>IF(ABS(tbl_sales3[[#This Row],[Commission_Earned]]-tbl_sales3[[#This Row],[Calculated_Commission]])&lt;0.02,"Correct","Mismatch")</calculatedColumnFormula>
    </tableColumn>
    <tableColumn id="20" xr3:uid="{006D91E9-4094-4040-8BEA-AB7E9878821F}" uniqueName="20" name="Sale_Year" queryTableFieldId="20" dataDxfId="10">
      <calculatedColumnFormula>YEAR(tbl_sales3[[#This Row],[Sale_Date]])</calculatedColumnFormula>
    </tableColumn>
    <tableColumn id="21" xr3:uid="{CA073BA4-30CA-4977-B008-E6DB711054EF}" uniqueName="21" name="Sale_Month" queryTableFieldId="21" dataDxfId="9">
      <calculatedColumnFormula>TEXT(tbl_sales3[[#This Row],[Sale_Date]],"mmmm")</calculatedColumnFormula>
    </tableColumn>
    <tableColumn id="22" xr3:uid="{8BB6F39C-5F79-4788-BAEE-46FC223F7853}" uniqueName="22" name="End_of_Month" queryTableFieldId="22" dataDxfId="8">
      <calculatedColumnFormula>EOMONTH(tbl_sales3[[#This Row],[Sale_Date]],0)</calculatedColumnFormula>
    </tableColumn>
    <tableColumn id="23" xr3:uid="{C9E68C77-5231-4A04-BD96-B128C8D1B252}" uniqueName="23" name="Market_Performance" queryTableFieldId="23" dataDxfId="7">
      <calculatedColumnFormula>IF(AND(tbl_sales3[[#This Row],[Sale_Price]]&gt;1000000,tbl_sales3[[#This Row],[Days_on_Market]]&lt;30),"High Demand","Normal")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763B-2361-478C-8BA5-7765FB89133E}">
  <dimension ref="A1:O301"/>
  <sheetViews>
    <sheetView workbookViewId="0">
      <selection activeCell="N5" sqref="N5"/>
    </sheetView>
  </sheetViews>
  <sheetFormatPr defaultRowHeight="14.4" x14ac:dyDescent="0.3"/>
  <cols>
    <col min="1" max="1" width="12.88671875" bestFit="1" customWidth="1"/>
    <col min="2" max="2" width="11.21875" bestFit="1" customWidth="1"/>
    <col min="3" max="3" width="15" bestFit="1" customWidth="1"/>
    <col min="4" max="4" width="11.6640625" bestFit="1" customWidth="1"/>
    <col min="5" max="5" width="12.21875" bestFit="1" customWidth="1"/>
    <col min="6" max="6" width="13.5546875" bestFit="1" customWidth="1"/>
    <col min="7" max="7" width="13.77734375" bestFit="1" customWidth="1"/>
    <col min="8" max="8" width="12" bestFit="1" customWidth="1"/>
    <col min="9" max="9" width="10.88671875" bestFit="1" customWidth="1"/>
    <col min="10" max="10" width="11.5546875" bestFit="1" customWidth="1"/>
    <col min="11" max="11" width="16.6640625" bestFit="1" customWidth="1"/>
    <col min="12" max="12" width="14.44140625" bestFit="1" customWidth="1"/>
    <col min="13" max="13" width="8.5546875" bestFit="1" customWidth="1"/>
    <col min="14" max="14" width="18.33203125" bestFit="1" customWidth="1"/>
    <col min="15" max="15" width="20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16</v>
      </c>
      <c r="B2" s="1" t="s">
        <v>17</v>
      </c>
      <c r="C2" s="1" t="s">
        <v>18</v>
      </c>
      <c r="D2">
        <v>4</v>
      </c>
      <c r="E2">
        <v>2</v>
      </c>
      <c r="F2">
        <v>2622</v>
      </c>
      <c r="G2">
        <v>699922</v>
      </c>
      <c r="H2">
        <v>651856</v>
      </c>
      <c r="I2" s="2">
        <v>45562</v>
      </c>
      <c r="J2" s="2">
        <v>45585</v>
      </c>
      <c r="K2">
        <v>23</v>
      </c>
      <c r="L2" s="1" t="s">
        <v>19</v>
      </c>
      <c r="M2" s="1" t="s">
        <v>20</v>
      </c>
      <c r="N2">
        <v>4.4999999999999998E-2</v>
      </c>
      <c r="O2">
        <v>29333.52</v>
      </c>
    </row>
    <row r="3" spans="1:15" x14ac:dyDescent="0.3">
      <c r="A3" s="1" t="s">
        <v>21</v>
      </c>
      <c r="B3" s="1" t="s">
        <v>22</v>
      </c>
      <c r="C3" s="1" t="s">
        <v>23</v>
      </c>
      <c r="D3">
        <v>3</v>
      </c>
      <c r="E3">
        <v>4</v>
      </c>
      <c r="F3">
        <v>2333</v>
      </c>
      <c r="G3">
        <v>762889</v>
      </c>
      <c r="H3">
        <v>696727</v>
      </c>
      <c r="I3" s="2">
        <v>45036</v>
      </c>
      <c r="J3" s="2">
        <v>45052</v>
      </c>
      <c r="K3">
        <v>16</v>
      </c>
      <c r="L3" s="1" t="s">
        <v>19</v>
      </c>
      <c r="M3" s="1" t="s">
        <v>24</v>
      </c>
      <c r="N3">
        <v>0.04</v>
      </c>
      <c r="O3">
        <v>27869.08</v>
      </c>
    </row>
    <row r="4" spans="1:15" x14ac:dyDescent="0.3">
      <c r="A4" s="1" t="s">
        <v>25</v>
      </c>
      <c r="B4" s="1" t="s">
        <v>26</v>
      </c>
      <c r="C4" s="1" t="s">
        <v>18</v>
      </c>
      <c r="D4">
        <v>4</v>
      </c>
      <c r="E4">
        <v>3</v>
      </c>
      <c r="F4">
        <v>2645</v>
      </c>
      <c r="G4">
        <v>1479721</v>
      </c>
      <c r="H4">
        <v>1462549</v>
      </c>
      <c r="I4" s="2">
        <v>45404</v>
      </c>
      <c r="J4" s="2">
        <v>45428</v>
      </c>
      <c r="K4">
        <v>24</v>
      </c>
      <c r="L4" s="1" t="s">
        <v>27</v>
      </c>
      <c r="M4" s="1" t="s">
        <v>28</v>
      </c>
      <c r="N4">
        <v>0.04</v>
      </c>
      <c r="O4">
        <v>58501.96</v>
      </c>
    </row>
    <row r="5" spans="1:15" x14ac:dyDescent="0.3">
      <c r="A5" s="1" t="s">
        <v>29</v>
      </c>
      <c r="B5" s="1" t="s">
        <v>26</v>
      </c>
      <c r="C5" s="1" t="s">
        <v>18</v>
      </c>
      <c r="D5">
        <v>4</v>
      </c>
      <c r="E5">
        <v>3</v>
      </c>
      <c r="F5">
        <v>540</v>
      </c>
      <c r="G5">
        <v>1540446</v>
      </c>
      <c r="H5">
        <v>1480985</v>
      </c>
      <c r="I5" s="2">
        <v>45197</v>
      </c>
      <c r="J5" s="2">
        <v>45265</v>
      </c>
      <c r="K5">
        <v>68</v>
      </c>
      <c r="L5" s="1" t="s">
        <v>30</v>
      </c>
      <c r="M5" s="1" t="s">
        <v>28</v>
      </c>
      <c r="N5">
        <v>0.04</v>
      </c>
      <c r="O5">
        <v>59239.4</v>
      </c>
    </row>
    <row r="6" spans="1:15" x14ac:dyDescent="0.3">
      <c r="A6" s="1" t="s">
        <v>31</v>
      </c>
      <c r="B6" s="1" t="s">
        <v>32</v>
      </c>
      <c r="C6" s="1" t="s">
        <v>33</v>
      </c>
      <c r="D6">
        <v>3</v>
      </c>
      <c r="E6">
        <v>4</v>
      </c>
      <c r="F6">
        <v>3079</v>
      </c>
      <c r="G6">
        <v>1717388</v>
      </c>
      <c r="H6">
        <v>1703806</v>
      </c>
      <c r="I6" s="2">
        <v>45456</v>
      </c>
      <c r="J6" s="2">
        <v>45475</v>
      </c>
      <c r="K6">
        <v>19</v>
      </c>
      <c r="L6" s="1" t="s">
        <v>30</v>
      </c>
      <c r="M6" s="1" t="s">
        <v>24</v>
      </c>
      <c r="N6">
        <v>0.04</v>
      </c>
      <c r="O6">
        <v>68152.240000000005</v>
      </c>
    </row>
    <row r="7" spans="1:15" x14ac:dyDescent="0.3">
      <c r="A7" s="1" t="s">
        <v>34</v>
      </c>
      <c r="B7" s="1" t="s">
        <v>32</v>
      </c>
      <c r="C7" s="1" t="s">
        <v>35</v>
      </c>
      <c r="D7">
        <v>4</v>
      </c>
      <c r="E7">
        <v>1</v>
      </c>
      <c r="F7">
        <v>676</v>
      </c>
      <c r="G7">
        <v>473809</v>
      </c>
      <c r="H7">
        <v>430808</v>
      </c>
      <c r="I7" s="2">
        <v>45111</v>
      </c>
      <c r="J7" s="2">
        <v>45140</v>
      </c>
      <c r="K7">
        <v>29</v>
      </c>
      <c r="L7" s="1" t="s">
        <v>19</v>
      </c>
      <c r="M7" s="1" t="s">
        <v>20</v>
      </c>
      <c r="N7">
        <v>0.05</v>
      </c>
      <c r="O7">
        <v>21540.400000000001</v>
      </c>
    </row>
    <row r="8" spans="1:15" x14ac:dyDescent="0.3">
      <c r="A8" s="1" t="s">
        <v>36</v>
      </c>
      <c r="B8" s="1" t="s">
        <v>37</v>
      </c>
      <c r="C8" s="1" t="s">
        <v>38</v>
      </c>
      <c r="D8">
        <v>3</v>
      </c>
      <c r="E8">
        <v>2</v>
      </c>
      <c r="F8">
        <v>2978</v>
      </c>
      <c r="G8">
        <v>1501453</v>
      </c>
      <c r="H8">
        <v>1430762</v>
      </c>
      <c r="I8" s="2">
        <v>45515</v>
      </c>
      <c r="J8" s="2">
        <v>45599</v>
      </c>
      <c r="K8">
        <v>84</v>
      </c>
      <c r="L8" s="1" t="s">
        <v>39</v>
      </c>
      <c r="M8" s="1" t="s">
        <v>20</v>
      </c>
      <c r="N8">
        <v>0.04</v>
      </c>
      <c r="O8">
        <v>57230.48</v>
      </c>
    </row>
    <row r="9" spans="1:15" x14ac:dyDescent="0.3">
      <c r="A9" s="1" t="s">
        <v>40</v>
      </c>
      <c r="B9" s="1" t="s">
        <v>41</v>
      </c>
      <c r="C9" s="1" t="s">
        <v>38</v>
      </c>
      <c r="D9">
        <v>3</v>
      </c>
      <c r="E9">
        <v>4</v>
      </c>
      <c r="F9">
        <v>2125</v>
      </c>
      <c r="G9">
        <v>1251341</v>
      </c>
      <c r="H9">
        <v>1190977</v>
      </c>
      <c r="I9" s="2">
        <v>45151</v>
      </c>
      <c r="J9" s="2">
        <v>45219</v>
      </c>
      <c r="K9">
        <v>68</v>
      </c>
      <c r="L9" s="1" t="s">
        <v>42</v>
      </c>
      <c r="M9" s="1" t="s">
        <v>20</v>
      </c>
      <c r="N9">
        <v>0.05</v>
      </c>
      <c r="O9">
        <v>59548.85</v>
      </c>
    </row>
    <row r="10" spans="1:15" x14ac:dyDescent="0.3">
      <c r="A10" s="1" t="s">
        <v>43</v>
      </c>
      <c r="B10" s="1" t="s">
        <v>32</v>
      </c>
      <c r="C10" s="1" t="s">
        <v>23</v>
      </c>
      <c r="D10">
        <v>5</v>
      </c>
      <c r="E10">
        <v>2</v>
      </c>
      <c r="F10">
        <v>1083</v>
      </c>
      <c r="G10">
        <v>480968</v>
      </c>
      <c r="H10">
        <v>447333</v>
      </c>
      <c r="I10" s="2">
        <v>44938</v>
      </c>
      <c r="J10" s="2">
        <v>44997</v>
      </c>
      <c r="K10">
        <v>59</v>
      </c>
      <c r="L10" s="1" t="s">
        <v>44</v>
      </c>
      <c r="M10" s="1" t="s">
        <v>28</v>
      </c>
      <c r="N10">
        <v>0.05</v>
      </c>
      <c r="O10">
        <v>22366.65</v>
      </c>
    </row>
    <row r="11" spans="1:15" x14ac:dyDescent="0.3">
      <c r="A11" s="1" t="s">
        <v>45</v>
      </c>
      <c r="B11" s="1" t="s">
        <v>41</v>
      </c>
      <c r="C11" s="1" t="s">
        <v>38</v>
      </c>
      <c r="D11">
        <v>4</v>
      </c>
      <c r="E11">
        <v>1</v>
      </c>
      <c r="F11">
        <v>2424</v>
      </c>
      <c r="G11">
        <v>1269773</v>
      </c>
      <c r="H11">
        <v>1251929</v>
      </c>
      <c r="I11" s="2">
        <v>45009</v>
      </c>
      <c r="J11" s="2">
        <v>45065</v>
      </c>
      <c r="K11">
        <v>56</v>
      </c>
      <c r="L11" s="1" t="s">
        <v>30</v>
      </c>
      <c r="M11" s="1" t="s">
        <v>20</v>
      </c>
      <c r="N11">
        <v>0.04</v>
      </c>
      <c r="O11">
        <v>50077.16</v>
      </c>
    </row>
    <row r="12" spans="1:15" x14ac:dyDescent="0.3">
      <c r="A12" s="1" t="s">
        <v>46</v>
      </c>
      <c r="B12" s="1" t="s">
        <v>17</v>
      </c>
      <c r="C12" s="1" t="s">
        <v>23</v>
      </c>
      <c r="D12">
        <v>3</v>
      </c>
      <c r="E12">
        <v>3</v>
      </c>
      <c r="F12">
        <v>1302</v>
      </c>
      <c r="G12">
        <v>1181966</v>
      </c>
      <c r="H12">
        <v>1137550</v>
      </c>
      <c r="I12" s="2">
        <v>45535</v>
      </c>
      <c r="J12" s="2">
        <v>45623</v>
      </c>
      <c r="K12">
        <v>88</v>
      </c>
      <c r="L12" s="1" t="s">
        <v>19</v>
      </c>
      <c r="M12" s="1" t="s">
        <v>24</v>
      </c>
      <c r="N12">
        <v>0.04</v>
      </c>
      <c r="O12">
        <v>45502</v>
      </c>
    </row>
    <row r="13" spans="1:15" x14ac:dyDescent="0.3">
      <c r="A13" s="1" t="s">
        <v>47</v>
      </c>
      <c r="B13" s="1" t="s">
        <v>48</v>
      </c>
      <c r="C13" s="1" t="s">
        <v>38</v>
      </c>
      <c r="D13">
        <v>4</v>
      </c>
      <c r="E13">
        <v>2</v>
      </c>
      <c r="F13">
        <v>2330</v>
      </c>
      <c r="G13">
        <v>1132711</v>
      </c>
      <c r="H13">
        <v>1097484</v>
      </c>
      <c r="I13" s="2">
        <v>44931</v>
      </c>
      <c r="J13" s="2">
        <v>44978</v>
      </c>
      <c r="K13">
        <v>47</v>
      </c>
      <c r="L13" s="1" t="s">
        <v>19</v>
      </c>
      <c r="M13" s="1" t="s">
        <v>24</v>
      </c>
      <c r="N13">
        <v>0.05</v>
      </c>
      <c r="O13">
        <v>54874.2</v>
      </c>
    </row>
    <row r="14" spans="1:15" x14ac:dyDescent="0.3">
      <c r="A14" s="1" t="s">
        <v>49</v>
      </c>
      <c r="B14" s="1" t="s">
        <v>41</v>
      </c>
      <c r="C14" s="1" t="s">
        <v>35</v>
      </c>
      <c r="D14">
        <v>3</v>
      </c>
      <c r="E14">
        <v>1</v>
      </c>
      <c r="F14">
        <v>2909</v>
      </c>
      <c r="G14">
        <v>889263</v>
      </c>
      <c r="H14">
        <v>885519</v>
      </c>
      <c r="I14" s="2">
        <v>45614</v>
      </c>
      <c r="J14" s="2">
        <v>45625</v>
      </c>
      <c r="K14">
        <v>11</v>
      </c>
      <c r="L14" s="1" t="s">
        <v>19</v>
      </c>
      <c r="M14" s="1" t="s">
        <v>24</v>
      </c>
      <c r="N14">
        <v>0.04</v>
      </c>
      <c r="O14">
        <v>35420.76</v>
      </c>
    </row>
    <row r="15" spans="1:15" x14ac:dyDescent="0.3">
      <c r="A15" s="1" t="s">
        <v>50</v>
      </c>
      <c r="B15" s="1" t="s">
        <v>17</v>
      </c>
      <c r="C15" s="1" t="s">
        <v>18</v>
      </c>
      <c r="D15">
        <v>2</v>
      </c>
      <c r="E15">
        <v>3</v>
      </c>
      <c r="F15">
        <v>3067</v>
      </c>
      <c r="G15">
        <v>1446681</v>
      </c>
      <c r="H15">
        <v>1368488</v>
      </c>
      <c r="I15" s="2">
        <v>45096</v>
      </c>
      <c r="J15" s="2">
        <v>45141</v>
      </c>
      <c r="K15">
        <v>45</v>
      </c>
      <c r="L15" s="1" t="s">
        <v>51</v>
      </c>
      <c r="M15" s="1" t="s">
        <v>28</v>
      </c>
      <c r="N15">
        <v>4.4999999999999998E-2</v>
      </c>
      <c r="O15">
        <v>61581.96</v>
      </c>
    </row>
    <row r="16" spans="1:15" x14ac:dyDescent="0.3">
      <c r="A16" s="1" t="s">
        <v>52</v>
      </c>
      <c r="B16" s="1" t="s">
        <v>26</v>
      </c>
      <c r="C16" s="1" t="s">
        <v>35</v>
      </c>
      <c r="D16">
        <v>2</v>
      </c>
      <c r="E16">
        <v>1</v>
      </c>
      <c r="F16">
        <v>3345</v>
      </c>
      <c r="G16">
        <v>1306639</v>
      </c>
      <c r="H16">
        <v>1303452</v>
      </c>
      <c r="I16" s="2">
        <v>45225</v>
      </c>
      <c r="J16" s="2">
        <v>45247</v>
      </c>
      <c r="K16">
        <v>22</v>
      </c>
      <c r="L16" s="1" t="s">
        <v>53</v>
      </c>
      <c r="M16" s="1" t="s">
        <v>20</v>
      </c>
      <c r="N16">
        <v>0.05</v>
      </c>
      <c r="O16">
        <v>65172.6</v>
      </c>
    </row>
    <row r="17" spans="1:15" x14ac:dyDescent="0.3">
      <c r="A17" s="1" t="s">
        <v>54</v>
      </c>
      <c r="B17" s="1" t="s">
        <v>26</v>
      </c>
      <c r="C17" s="1" t="s">
        <v>18</v>
      </c>
      <c r="D17">
        <v>4</v>
      </c>
      <c r="E17">
        <v>2</v>
      </c>
      <c r="F17">
        <v>1520</v>
      </c>
      <c r="G17">
        <v>618475</v>
      </c>
      <c r="H17">
        <v>575335</v>
      </c>
      <c r="I17" s="2">
        <v>45497</v>
      </c>
      <c r="J17" s="2">
        <v>45533</v>
      </c>
      <c r="K17">
        <v>36</v>
      </c>
      <c r="L17" s="1" t="s">
        <v>19</v>
      </c>
      <c r="M17" s="1" t="s">
        <v>28</v>
      </c>
      <c r="N17">
        <v>0.05</v>
      </c>
      <c r="O17">
        <v>28766.75</v>
      </c>
    </row>
    <row r="18" spans="1:15" x14ac:dyDescent="0.3">
      <c r="A18" s="1" t="s">
        <v>55</v>
      </c>
      <c r="B18" s="1" t="s">
        <v>17</v>
      </c>
      <c r="C18" s="1" t="s">
        <v>35</v>
      </c>
      <c r="D18">
        <v>5</v>
      </c>
      <c r="E18">
        <v>2</v>
      </c>
      <c r="F18">
        <v>772</v>
      </c>
      <c r="G18">
        <v>1292895</v>
      </c>
      <c r="H18">
        <v>1247705</v>
      </c>
      <c r="I18" s="2">
        <v>45281</v>
      </c>
      <c r="J18" s="2">
        <v>45330</v>
      </c>
      <c r="K18">
        <v>49</v>
      </c>
      <c r="L18" s="1" t="s">
        <v>44</v>
      </c>
      <c r="M18" s="1" t="s">
        <v>20</v>
      </c>
      <c r="N18">
        <v>0.04</v>
      </c>
      <c r="O18">
        <v>49908.2</v>
      </c>
    </row>
    <row r="19" spans="1:15" x14ac:dyDescent="0.3">
      <c r="A19" s="1" t="s">
        <v>56</v>
      </c>
      <c r="B19" s="1" t="s">
        <v>32</v>
      </c>
      <c r="C19" s="1" t="s">
        <v>18</v>
      </c>
      <c r="D19">
        <v>2</v>
      </c>
      <c r="E19">
        <v>1</v>
      </c>
      <c r="F19">
        <v>2652</v>
      </c>
      <c r="G19">
        <v>1707005</v>
      </c>
      <c r="H19">
        <v>1650320</v>
      </c>
      <c r="I19" s="2">
        <v>45166</v>
      </c>
      <c r="J19" s="2">
        <v>45231</v>
      </c>
      <c r="K19">
        <v>65</v>
      </c>
      <c r="L19" s="1" t="s">
        <v>44</v>
      </c>
      <c r="M19" s="1" t="s">
        <v>20</v>
      </c>
      <c r="N19">
        <v>0.05</v>
      </c>
      <c r="O19">
        <v>82516</v>
      </c>
    </row>
    <row r="20" spans="1:15" x14ac:dyDescent="0.3">
      <c r="A20" s="1" t="s">
        <v>57</v>
      </c>
      <c r="B20" s="1" t="s">
        <v>41</v>
      </c>
      <c r="C20" s="1" t="s">
        <v>38</v>
      </c>
      <c r="D20">
        <v>2</v>
      </c>
      <c r="E20">
        <v>2</v>
      </c>
      <c r="F20">
        <v>975</v>
      </c>
      <c r="G20">
        <v>445754</v>
      </c>
      <c r="H20">
        <v>438845</v>
      </c>
      <c r="I20" s="2">
        <v>45113</v>
      </c>
      <c r="J20" s="2">
        <v>45180</v>
      </c>
      <c r="K20">
        <v>67</v>
      </c>
      <c r="L20" s="1" t="s">
        <v>30</v>
      </c>
      <c r="M20" s="1" t="s">
        <v>20</v>
      </c>
      <c r="N20">
        <v>4.4999999999999998E-2</v>
      </c>
      <c r="O20">
        <v>19748.02</v>
      </c>
    </row>
    <row r="21" spans="1:15" x14ac:dyDescent="0.3">
      <c r="A21" s="1" t="s">
        <v>58</v>
      </c>
      <c r="B21" s="1" t="s">
        <v>59</v>
      </c>
      <c r="C21" s="1" t="s">
        <v>23</v>
      </c>
      <c r="D21">
        <v>5</v>
      </c>
      <c r="E21">
        <v>3</v>
      </c>
      <c r="F21">
        <v>1617</v>
      </c>
      <c r="G21">
        <v>1795963</v>
      </c>
      <c r="H21">
        <v>1782475</v>
      </c>
      <c r="I21" s="2">
        <v>45289</v>
      </c>
      <c r="J21" s="2">
        <v>45379</v>
      </c>
      <c r="K21">
        <v>90</v>
      </c>
      <c r="L21" s="1" t="s">
        <v>42</v>
      </c>
      <c r="M21" s="1" t="s">
        <v>20</v>
      </c>
      <c r="N21">
        <v>0.05</v>
      </c>
      <c r="O21">
        <v>89123.75</v>
      </c>
    </row>
    <row r="22" spans="1:15" x14ac:dyDescent="0.3">
      <c r="A22" s="1" t="s">
        <v>60</v>
      </c>
      <c r="B22" s="1" t="s">
        <v>59</v>
      </c>
      <c r="C22" s="1" t="s">
        <v>35</v>
      </c>
      <c r="D22">
        <v>3</v>
      </c>
      <c r="E22">
        <v>4</v>
      </c>
      <c r="F22">
        <v>907</v>
      </c>
      <c r="G22">
        <v>976137</v>
      </c>
      <c r="H22">
        <v>908171</v>
      </c>
      <c r="I22" s="2">
        <v>45079</v>
      </c>
      <c r="J22" s="2">
        <v>45092</v>
      </c>
      <c r="K22">
        <v>13</v>
      </c>
      <c r="L22" s="1" t="s">
        <v>42</v>
      </c>
      <c r="M22" s="1" t="s">
        <v>20</v>
      </c>
      <c r="N22">
        <v>0.04</v>
      </c>
      <c r="O22">
        <v>36326.839999999997</v>
      </c>
    </row>
    <row r="23" spans="1:15" x14ac:dyDescent="0.3">
      <c r="A23" s="1" t="s">
        <v>61</v>
      </c>
      <c r="B23" s="1" t="s">
        <v>48</v>
      </c>
      <c r="C23" s="1" t="s">
        <v>23</v>
      </c>
      <c r="D23">
        <v>1</v>
      </c>
      <c r="E23">
        <v>1</v>
      </c>
      <c r="F23">
        <v>1518</v>
      </c>
      <c r="G23">
        <v>611348</v>
      </c>
      <c r="H23">
        <v>580718</v>
      </c>
      <c r="I23" s="2">
        <v>45042</v>
      </c>
      <c r="J23" s="2">
        <v>45122</v>
      </c>
      <c r="K23">
        <v>80</v>
      </c>
      <c r="L23" s="1" t="s">
        <v>42</v>
      </c>
      <c r="M23" s="1" t="s">
        <v>28</v>
      </c>
      <c r="N23">
        <v>0.04</v>
      </c>
      <c r="O23">
        <v>23228.720000000001</v>
      </c>
    </row>
    <row r="24" spans="1:15" x14ac:dyDescent="0.3">
      <c r="A24" s="1" t="s">
        <v>62</v>
      </c>
      <c r="B24" s="1" t="s">
        <v>48</v>
      </c>
      <c r="C24" s="1" t="s">
        <v>38</v>
      </c>
      <c r="D24">
        <v>1</v>
      </c>
      <c r="E24">
        <v>4</v>
      </c>
      <c r="F24">
        <v>2837</v>
      </c>
      <c r="G24">
        <v>864858</v>
      </c>
      <c r="H24">
        <v>840811</v>
      </c>
      <c r="I24" s="2">
        <v>45575</v>
      </c>
      <c r="J24" s="2">
        <v>45591</v>
      </c>
      <c r="K24">
        <v>16</v>
      </c>
      <c r="L24" s="1" t="s">
        <v>51</v>
      </c>
      <c r="M24" s="1" t="s">
        <v>28</v>
      </c>
      <c r="N24">
        <v>0.05</v>
      </c>
      <c r="O24">
        <v>42040.55</v>
      </c>
    </row>
    <row r="25" spans="1:15" x14ac:dyDescent="0.3">
      <c r="A25" s="1" t="s">
        <v>63</v>
      </c>
      <c r="B25" s="1" t="s">
        <v>17</v>
      </c>
      <c r="C25" s="1" t="s">
        <v>23</v>
      </c>
      <c r="D25">
        <v>4</v>
      </c>
      <c r="E25">
        <v>2</v>
      </c>
      <c r="F25">
        <v>2332</v>
      </c>
      <c r="G25">
        <v>433760</v>
      </c>
      <c r="H25">
        <v>393102</v>
      </c>
      <c r="I25" s="2">
        <v>45064</v>
      </c>
      <c r="J25" s="2">
        <v>45099</v>
      </c>
      <c r="K25">
        <v>35</v>
      </c>
      <c r="L25" s="1" t="s">
        <v>39</v>
      </c>
      <c r="M25" s="1" t="s">
        <v>28</v>
      </c>
      <c r="N25">
        <v>4.4999999999999998E-2</v>
      </c>
      <c r="O25">
        <v>17689.59</v>
      </c>
    </row>
    <row r="26" spans="1:15" x14ac:dyDescent="0.3">
      <c r="A26" s="1" t="s">
        <v>64</v>
      </c>
      <c r="B26" s="1" t="s">
        <v>22</v>
      </c>
      <c r="C26" s="1" t="s">
        <v>38</v>
      </c>
      <c r="D26">
        <v>1</v>
      </c>
      <c r="E26">
        <v>1</v>
      </c>
      <c r="F26">
        <v>2741</v>
      </c>
      <c r="G26">
        <v>1410949</v>
      </c>
      <c r="H26">
        <v>1391879</v>
      </c>
      <c r="I26" s="2">
        <v>45059</v>
      </c>
      <c r="J26" s="2">
        <v>45093</v>
      </c>
      <c r="K26">
        <v>34</v>
      </c>
      <c r="L26" s="1" t="s">
        <v>39</v>
      </c>
      <c r="M26" s="1" t="s">
        <v>24</v>
      </c>
      <c r="N26">
        <v>4.4999999999999998E-2</v>
      </c>
      <c r="O26">
        <v>62634.559999999998</v>
      </c>
    </row>
    <row r="27" spans="1:15" x14ac:dyDescent="0.3">
      <c r="A27" s="1" t="s">
        <v>65</v>
      </c>
      <c r="B27" s="1" t="s">
        <v>26</v>
      </c>
      <c r="C27" s="1" t="s">
        <v>18</v>
      </c>
      <c r="D27">
        <v>2</v>
      </c>
      <c r="E27">
        <v>2</v>
      </c>
      <c r="F27">
        <v>1627</v>
      </c>
      <c r="G27">
        <v>1396973</v>
      </c>
      <c r="H27">
        <v>1363963</v>
      </c>
      <c r="I27" s="2">
        <v>45425</v>
      </c>
      <c r="J27" s="2">
        <v>45464</v>
      </c>
      <c r="K27">
        <v>39</v>
      </c>
      <c r="L27" s="1" t="s">
        <v>19</v>
      </c>
      <c r="M27" s="1" t="s">
        <v>28</v>
      </c>
      <c r="N27">
        <v>4.4999999999999998E-2</v>
      </c>
      <c r="O27">
        <v>61378.33</v>
      </c>
    </row>
    <row r="28" spans="1:15" x14ac:dyDescent="0.3">
      <c r="A28" s="1" t="s">
        <v>66</v>
      </c>
      <c r="B28" s="1" t="s">
        <v>17</v>
      </c>
      <c r="C28" s="1" t="s">
        <v>33</v>
      </c>
      <c r="D28">
        <v>2</v>
      </c>
      <c r="E28">
        <v>2</v>
      </c>
      <c r="F28">
        <v>622</v>
      </c>
      <c r="G28">
        <v>1793447</v>
      </c>
      <c r="H28">
        <v>1776514</v>
      </c>
      <c r="I28" s="2">
        <v>45571</v>
      </c>
      <c r="J28" s="2">
        <v>45605</v>
      </c>
      <c r="K28">
        <v>34</v>
      </c>
      <c r="L28" s="1" t="s">
        <v>51</v>
      </c>
      <c r="M28" s="1" t="s">
        <v>20</v>
      </c>
      <c r="N28">
        <v>4.4999999999999998E-2</v>
      </c>
      <c r="O28">
        <v>79943.13</v>
      </c>
    </row>
    <row r="29" spans="1:15" x14ac:dyDescent="0.3">
      <c r="A29" s="1" t="s">
        <v>67</v>
      </c>
      <c r="B29" s="1" t="s">
        <v>17</v>
      </c>
      <c r="C29" s="1" t="s">
        <v>33</v>
      </c>
      <c r="D29">
        <v>5</v>
      </c>
      <c r="E29">
        <v>3</v>
      </c>
      <c r="F29">
        <v>1352</v>
      </c>
      <c r="G29">
        <v>1142693</v>
      </c>
      <c r="H29">
        <v>1136958</v>
      </c>
      <c r="I29" s="2">
        <v>45225</v>
      </c>
      <c r="J29" s="2">
        <v>45245</v>
      </c>
      <c r="K29">
        <v>20</v>
      </c>
      <c r="L29" s="1" t="s">
        <v>44</v>
      </c>
      <c r="M29" s="1" t="s">
        <v>28</v>
      </c>
      <c r="N29">
        <v>4.4999999999999998E-2</v>
      </c>
      <c r="O29">
        <v>51163.11</v>
      </c>
    </row>
    <row r="30" spans="1:15" x14ac:dyDescent="0.3">
      <c r="A30" s="1" t="s">
        <v>68</v>
      </c>
      <c r="B30" s="1" t="s">
        <v>22</v>
      </c>
      <c r="C30" s="1" t="s">
        <v>35</v>
      </c>
      <c r="D30">
        <v>3</v>
      </c>
      <c r="E30">
        <v>2</v>
      </c>
      <c r="F30">
        <v>553</v>
      </c>
      <c r="G30">
        <v>521193</v>
      </c>
      <c r="H30">
        <v>442001</v>
      </c>
      <c r="I30" s="2">
        <v>45478</v>
      </c>
      <c r="J30" s="2">
        <v>45568</v>
      </c>
      <c r="K30">
        <v>90</v>
      </c>
      <c r="L30" s="1" t="s">
        <v>42</v>
      </c>
      <c r="M30" s="1" t="s">
        <v>20</v>
      </c>
      <c r="N30">
        <v>4.4999999999999998E-2</v>
      </c>
      <c r="O30">
        <v>19890.04</v>
      </c>
    </row>
    <row r="31" spans="1:15" x14ac:dyDescent="0.3">
      <c r="A31" s="1" t="s">
        <v>69</v>
      </c>
      <c r="B31" s="1" t="s">
        <v>22</v>
      </c>
      <c r="C31" s="1" t="s">
        <v>33</v>
      </c>
      <c r="D31">
        <v>5</v>
      </c>
      <c r="E31">
        <v>3</v>
      </c>
      <c r="F31">
        <v>694</v>
      </c>
      <c r="G31">
        <v>410868</v>
      </c>
      <c r="H31">
        <v>355818</v>
      </c>
      <c r="I31" s="2">
        <v>45604</v>
      </c>
      <c r="J31" s="2">
        <v>45621</v>
      </c>
      <c r="K31">
        <v>17</v>
      </c>
      <c r="L31" s="1" t="s">
        <v>42</v>
      </c>
      <c r="M31" s="1" t="s">
        <v>20</v>
      </c>
      <c r="N31">
        <v>0.04</v>
      </c>
      <c r="O31">
        <v>14232.72</v>
      </c>
    </row>
    <row r="32" spans="1:15" x14ac:dyDescent="0.3">
      <c r="A32" s="1" t="s">
        <v>70</v>
      </c>
      <c r="B32" s="1" t="s">
        <v>59</v>
      </c>
      <c r="C32" s="1" t="s">
        <v>33</v>
      </c>
      <c r="D32">
        <v>1</v>
      </c>
      <c r="E32">
        <v>2</v>
      </c>
      <c r="F32">
        <v>1173</v>
      </c>
      <c r="G32">
        <v>967638</v>
      </c>
      <c r="H32">
        <v>910249</v>
      </c>
      <c r="I32" s="2">
        <v>45384</v>
      </c>
      <c r="J32" s="2">
        <v>45408</v>
      </c>
      <c r="K32">
        <v>24</v>
      </c>
      <c r="L32" s="1" t="s">
        <v>30</v>
      </c>
      <c r="M32" s="1" t="s">
        <v>28</v>
      </c>
      <c r="N32">
        <v>4.4999999999999998E-2</v>
      </c>
      <c r="O32">
        <v>40961.21</v>
      </c>
    </row>
    <row r="33" spans="1:15" x14ac:dyDescent="0.3">
      <c r="A33" s="1" t="s">
        <v>71</v>
      </c>
      <c r="B33" s="1" t="s">
        <v>26</v>
      </c>
      <c r="C33" s="1" t="s">
        <v>23</v>
      </c>
      <c r="D33">
        <v>3</v>
      </c>
      <c r="E33">
        <v>1</v>
      </c>
      <c r="F33">
        <v>1190</v>
      </c>
      <c r="G33">
        <v>635295</v>
      </c>
      <c r="H33">
        <v>572712</v>
      </c>
      <c r="I33" s="2">
        <v>45113</v>
      </c>
      <c r="J33" s="2">
        <v>45145</v>
      </c>
      <c r="K33">
        <v>32</v>
      </c>
      <c r="L33" s="1" t="s">
        <v>42</v>
      </c>
      <c r="M33" s="1" t="s">
        <v>28</v>
      </c>
      <c r="N33">
        <v>4.4999999999999998E-2</v>
      </c>
      <c r="O33">
        <v>25772.04</v>
      </c>
    </row>
    <row r="34" spans="1:15" x14ac:dyDescent="0.3">
      <c r="A34" s="1" t="s">
        <v>72</v>
      </c>
      <c r="B34" s="1" t="s">
        <v>48</v>
      </c>
      <c r="C34" s="1" t="s">
        <v>35</v>
      </c>
      <c r="D34">
        <v>1</v>
      </c>
      <c r="E34">
        <v>3</v>
      </c>
      <c r="F34">
        <v>1146</v>
      </c>
      <c r="G34">
        <v>1661392</v>
      </c>
      <c r="H34">
        <v>1614013</v>
      </c>
      <c r="I34" s="2">
        <v>45485</v>
      </c>
      <c r="J34" s="2">
        <v>45557</v>
      </c>
      <c r="K34">
        <v>72</v>
      </c>
      <c r="L34" s="1" t="s">
        <v>51</v>
      </c>
      <c r="M34" s="1" t="s">
        <v>20</v>
      </c>
      <c r="N34">
        <v>0.05</v>
      </c>
      <c r="O34">
        <v>80700.649999999994</v>
      </c>
    </row>
    <row r="35" spans="1:15" x14ac:dyDescent="0.3">
      <c r="A35" s="1" t="s">
        <v>73</v>
      </c>
      <c r="B35" s="1" t="s">
        <v>37</v>
      </c>
      <c r="C35" s="1" t="s">
        <v>35</v>
      </c>
      <c r="D35">
        <v>4</v>
      </c>
      <c r="E35">
        <v>1</v>
      </c>
      <c r="F35">
        <v>1169</v>
      </c>
      <c r="G35">
        <v>800221</v>
      </c>
      <c r="H35">
        <v>784097</v>
      </c>
      <c r="I35" s="2">
        <v>45387</v>
      </c>
      <c r="J35" s="2">
        <v>45419</v>
      </c>
      <c r="K35">
        <v>32</v>
      </c>
      <c r="L35" s="1" t="s">
        <v>51</v>
      </c>
      <c r="M35" s="1" t="s">
        <v>20</v>
      </c>
      <c r="N35">
        <v>0.04</v>
      </c>
      <c r="O35">
        <v>31363.88</v>
      </c>
    </row>
    <row r="36" spans="1:15" x14ac:dyDescent="0.3">
      <c r="A36" s="1" t="s">
        <v>74</v>
      </c>
      <c r="B36" s="1" t="s">
        <v>37</v>
      </c>
      <c r="C36" s="1" t="s">
        <v>38</v>
      </c>
      <c r="D36">
        <v>4</v>
      </c>
      <c r="E36">
        <v>1</v>
      </c>
      <c r="F36">
        <v>2553</v>
      </c>
      <c r="G36">
        <v>563416</v>
      </c>
      <c r="H36">
        <v>520533</v>
      </c>
      <c r="I36" s="2">
        <v>45167</v>
      </c>
      <c r="J36" s="2">
        <v>45235</v>
      </c>
      <c r="K36">
        <v>68</v>
      </c>
      <c r="L36" s="1" t="s">
        <v>27</v>
      </c>
      <c r="M36" s="1" t="s">
        <v>24</v>
      </c>
      <c r="N36">
        <v>0.04</v>
      </c>
      <c r="O36">
        <v>20821.32</v>
      </c>
    </row>
    <row r="37" spans="1:15" x14ac:dyDescent="0.3">
      <c r="A37" s="1" t="s">
        <v>75</v>
      </c>
      <c r="B37" s="1" t="s">
        <v>37</v>
      </c>
      <c r="C37" s="1" t="s">
        <v>33</v>
      </c>
      <c r="D37">
        <v>3</v>
      </c>
      <c r="E37">
        <v>2</v>
      </c>
      <c r="F37">
        <v>2166</v>
      </c>
      <c r="G37">
        <v>1103961</v>
      </c>
      <c r="H37">
        <v>1033890</v>
      </c>
      <c r="I37" s="2">
        <v>45302</v>
      </c>
      <c r="J37" s="2">
        <v>45353</v>
      </c>
      <c r="K37">
        <v>51</v>
      </c>
      <c r="L37" s="1" t="s">
        <v>42</v>
      </c>
      <c r="M37" s="1" t="s">
        <v>28</v>
      </c>
      <c r="N37">
        <v>0.04</v>
      </c>
      <c r="O37">
        <v>41355.599999999999</v>
      </c>
    </row>
    <row r="38" spans="1:15" x14ac:dyDescent="0.3">
      <c r="A38" s="1" t="s">
        <v>76</v>
      </c>
      <c r="B38" s="1" t="s">
        <v>59</v>
      </c>
      <c r="C38" s="1" t="s">
        <v>38</v>
      </c>
      <c r="D38">
        <v>3</v>
      </c>
      <c r="E38">
        <v>3</v>
      </c>
      <c r="F38">
        <v>2036</v>
      </c>
      <c r="G38">
        <v>1372020</v>
      </c>
      <c r="H38">
        <v>1345553</v>
      </c>
      <c r="I38" s="2">
        <v>45066</v>
      </c>
      <c r="J38" s="2">
        <v>45154</v>
      </c>
      <c r="K38">
        <v>88</v>
      </c>
      <c r="L38" s="1" t="s">
        <v>19</v>
      </c>
      <c r="M38" s="1" t="s">
        <v>28</v>
      </c>
      <c r="N38">
        <v>0.05</v>
      </c>
      <c r="O38">
        <v>67277.649999999994</v>
      </c>
    </row>
    <row r="39" spans="1:15" x14ac:dyDescent="0.3">
      <c r="A39" s="1" t="s">
        <v>77</v>
      </c>
      <c r="B39" s="1" t="s">
        <v>22</v>
      </c>
      <c r="C39" s="1" t="s">
        <v>23</v>
      </c>
      <c r="D39">
        <v>2</v>
      </c>
      <c r="E39">
        <v>2</v>
      </c>
      <c r="F39">
        <v>1653</v>
      </c>
      <c r="G39">
        <v>1254121</v>
      </c>
      <c r="H39">
        <v>1201214</v>
      </c>
      <c r="I39" s="2">
        <v>45442</v>
      </c>
      <c r="J39" s="2">
        <v>45460</v>
      </c>
      <c r="K39">
        <v>18</v>
      </c>
      <c r="L39" s="1" t="s">
        <v>42</v>
      </c>
      <c r="M39" s="1" t="s">
        <v>24</v>
      </c>
      <c r="N39">
        <v>0.04</v>
      </c>
      <c r="O39">
        <v>48048.56</v>
      </c>
    </row>
    <row r="40" spans="1:15" x14ac:dyDescent="0.3">
      <c r="A40" s="1" t="s">
        <v>78</v>
      </c>
      <c r="B40" s="1" t="s">
        <v>37</v>
      </c>
      <c r="C40" s="1" t="s">
        <v>38</v>
      </c>
      <c r="D40">
        <v>4</v>
      </c>
      <c r="E40">
        <v>3</v>
      </c>
      <c r="F40">
        <v>1710</v>
      </c>
      <c r="G40">
        <v>871753</v>
      </c>
      <c r="H40">
        <v>792511</v>
      </c>
      <c r="I40" s="2">
        <v>45196</v>
      </c>
      <c r="J40" s="2">
        <v>45255</v>
      </c>
      <c r="K40">
        <v>59</v>
      </c>
      <c r="L40" s="1" t="s">
        <v>39</v>
      </c>
      <c r="M40" s="1" t="s">
        <v>28</v>
      </c>
      <c r="N40">
        <v>0.04</v>
      </c>
      <c r="O40">
        <v>31700.44</v>
      </c>
    </row>
    <row r="41" spans="1:15" x14ac:dyDescent="0.3">
      <c r="A41" s="1" t="s">
        <v>79</v>
      </c>
      <c r="B41" s="1" t="s">
        <v>37</v>
      </c>
      <c r="C41" s="1" t="s">
        <v>33</v>
      </c>
      <c r="D41">
        <v>1</v>
      </c>
      <c r="E41">
        <v>4</v>
      </c>
      <c r="F41">
        <v>3057</v>
      </c>
      <c r="G41">
        <v>1415024</v>
      </c>
      <c r="H41">
        <v>1374245</v>
      </c>
      <c r="I41" s="2">
        <v>45368</v>
      </c>
      <c r="J41" s="2">
        <v>45435</v>
      </c>
      <c r="K41">
        <v>67</v>
      </c>
      <c r="L41" s="1" t="s">
        <v>39</v>
      </c>
      <c r="M41" s="1" t="s">
        <v>28</v>
      </c>
      <c r="N41">
        <v>0.05</v>
      </c>
      <c r="O41">
        <v>68712.25</v>
      </c>
    </row>
    <row r="42" spans="1:15" x14ac:dyDescent="0.3">
      <c r="A42" s="1" t="s">
        <v>80</v>
      </c>
      <c r="B42" s="1" t="s">
        <v>41</v>
      </c>
      <c r="C42" s="1" t="s">
        <v>35</v>
      </c>
      <c r="D42">
        <v>3</v>
      </c>
      <c r="E42">
        <v>1</v>
      </c>
      <c r="F42">
        <v>2380</v>
      </c>
      <c r="G42">
        <v>1594889</v>
      </c>
      <c r="H42">
        <v>1568352</v>
      </c>
      <c r="I42" s="2">
        <v>45299</v>
      </c>
      <c r="J42" s="2">
        <v>45358</v>
      </c>
      <c r="K42">
        <v>59</v>
      </c>
      <c r="L42" s="1" t="s">
        <v>19</v>
      </c>
      <c r="M42" s="1" t="s">
        <v>28</v>
      </c>
      <c r="N42">
        <v>4.4999999999999998E-2</v>
      </c>
      <c r="O42">
        <v>70575.839999999997</v>
      </c>
    </row>
    <row r="43" spans="1:15" x14ac:dyDescent="0.3">
      <c r="A43" s="1" t="s">
        <v>81</v>
      </c>
      <c r="B43" s="1" t="s">
        <v>59</v>
      </c>
      <c r="C43" s="1" t="s">
        <v>38</v>
      </c>
      <c r="D43">
        <v>3</v>
      </c>
      <c r="E43">
        <v>4</v>
      </c>
      <c r="F43">
        <v>1828</v>
      </c>
      <c r="G43">
        <v>598458</v>
      </c>
      <c r="H43">
        <v>548566</v>
      </c>
      <c r="I43" s="2">
        <v>45583</v>
      </c>
      <c r="J43" s="2">
        <v>45595</v>
      </c>
      <c r="K43">
        <v>12</v>
      </c>
      <c r="L43" s="1" t="s">
        <v>30</v>
      </c>
      <c r="M43" s="1" t="s">
        <v>28</v>
      </c>
      <c r="N43">
        <v>0.04</v>
      </c>
      <c r="O43">
        <v>21942.639999999999</v>
      </c>
    </row>
    <row r="44" spans="1:15" x14ac:dyDescent="0.3">
      <c r="A44" s="1" t="s">
        <v>82</v>
      </c>
      <c r="B44" s="1" t="s">
        <v>41</v>
      </c>
      <c r="C44" s="1" t="s">
        <v>23</v>
      </c>
      <c r="D44">
        <v>5</v>
      </c>
      <c r="E44">
        <v>4</v>
      </c>
      <c r="F44">
        <v>2339</v>
      </c>
      <c r="G44">
        <v>1071759</v>
      </c>
      <c r="H44">
        <v>1070235</v>
      </c>
      <c r="I44" s="2">
        <v>45570</v>
      </c>
      <c r="J44" s="2">
        <v>45656</v>
      </c>
      <c r="K44">
        <v>86</v>
      </c>
      <c r="L44" s="1" t="s">
        <v>30</v>
      </c>
      <c r="M44" s="1" t="s">
        <v>24</v>
      </c>
      <c r="N44">
        <v>0.05</v>
      </c>
      <c r="O44">
        <v>53511.75</v>
      </c>
    </row>
    <row r="45" spans="1:15" x14ac:dyDescent="0.3">
      <c r="A45" s="1" t="s">
        <v>83</v>
      </c>
      <c r="B45" s="1" t="s">
        <v>37</v>
      </c>
      <c r="C45" s="1" t="s">
        <v>18</v>
      </c>
      <c r="D45">
        <v>3</v>
      </c>
      <c r="E45">
        <v>3</v>
      </c>
      <c r="F45">
        <v>2554</v>
      </c>
      <c r="G45">
        <v>1244772</v>
      </c>
      <c r="H45">
        <v>1191476</v>
      </c>
      <c r="I45" s="2">
        <v>45080</v>
      </c>
      <c r="J45" s="2">
        <v>45109</v>
      </c>
      <c r="K45">
        <v>29</v>
      </c>
      <c r="L45" s="1" t="s">
        <v>30</v>
      </c>
      <c r="M45" s="1" t="s">
        <v>24</v>
      </c>
      <c r="N45">
        <v>0.05</v>
      </c>
      <c r="O45">
        <v>59573.8</v>
      </c>
    </row>
    <row r="46" spans="1:15" x14ac:dyDescent="0.3">
      <c r="A46" s="1" t="s">
        <v>84</v>
      </c>
      <c r="B46" s="1" t="s">
        <v>17</v>
      </c>
      <c r="C46" s="1" t="s">
        <v>23</v>
      </c>
      <c r="D46">
        <v>3</v>
      </c>
      <c r="E46">
        <v>3</v>
      </c>
      <c r="F46">
        <v>1289</v>
      </c>
      <c r="G46">
        <v>1014074</v>
      </c>
      <c r="H46">
        <v>964814</v>
      </c>
      <c r="I46" s="2">
        <v>45550</v>
      </c>
      <c r="J46" s="2">
        <v>45625</v>
      </c>
      <c r="K46">
        <v>75</v>
      </c>
      <c r="L46" s="1" t="s">
        <v>53</v>
      </c>
      <c r="M46" s="1" t="s">
        <v>28</v>
      </c>
      <c r="N46">
        <v>4.4999999999999998E-2</v>
      </c>
      <c r="O46">
        <v>43416.63</v>
      </c>
    </row>
    <row r="47" spans="1:15" x14ac:dyDescent="0.3">
      <c r="A47" s="1" t="s">
        <v>85</v>
      </c>
      <c r="B47" s="1" t="s">
        <v>32</v>
      </c>
      <c r="C47" s="1" t="s">
        <v>23</v>
      </c>
      <c r="D47">
        <v>2</v>
      </c>
      <c r="E47">
        <v>3</v>
      </c>
      <c r="F47">
        <v>2888</v>
      </c>
      <c r="G47">
        <v>1363630</v>
      </c>
      <c r="H47">
        <v>1358303</v>
      </c>
      <c r="I47" s="2">
        <v>44947</v>
      </c>
      <c r="J47" s="2">
        <v>45026</v>
      </c>
      <c r="K47">
        <v>79</v>
      </c>
      <c r="L47" s="1" t="s">
        <v>42</v>
      </c>
      <c r="M47" s="1" t="s">
        <v>24</v>
      </c>
      <c r="N47">
        <v>0.05</v>
      </c>
      <c r="O47">
        <v>67915.149999999994</v>
      </c>
    </row>
    <row r="48" spans="1:15" x14ac:dyDescent="0.3">
      <c r="A48" s="1" t="s">
        <v>86</v>
      </c>
      <c r="B48" s="1" t="s">
        <v>41</v>
      </c>
      <c r="C48" s="1" t="s">
        <v>38</v>
      </c>
      <c r="D48">
        <v>2</v>
      </c>
      <c r="E48">
        <v>4</v>
      </c>
      <c r="F48">
        <v>3495</v>
      </c>
      <c r="G48">
        <v>891984</v>
      </c>
      <c r="H48">
        <v>844102</v>
      </c>
      <c r="I48" s="2">
        <v>45440</v>
      </c>
      <c r="J48" s="2">
        <v>45455</v>
      </c>
      <c r="K48">
        <v>15</v>
      </c>
      <c r="L48" s="1" t="s">
        <v>44</v>
      </c>
      <c r="M48" s="1" t="s">
        <v>24</v>
      </c>
      <c r="N48">
        <v>4.4999999999999998E-2</v>
      </c>
      <c r="O48">
        <v>37984.589999999997</v>
      </c>
    </row>
    <row r="49" spans="1:15" x14ac:dyDescent="0.3">
      <c r="A49" s="1" t="s">
        <v>87</v>
      </c>
      <c r="B49" s="1" t="s">
        <v>41</v>
      </c>
      <c r="C49" s="1" t="s">
        <v>18</v>
      </c>
      <c r="D49">
        <v>4</v>
      </c>
      <c r="E49">
        <v>3</v>
      </c>
      <c r="F49">
        <v>1817</v>
      </c>
      <c r="G49">
        <v>461984</v>
      </c>
      <c r="H49">
        <v>384317</v>
      </c>
      <c r="I49" s="2">
        <v>45108</v>
      </c>
      <c r="J49" s="2">
        <v>45162</v>
      </c>
      <c r="K49">
        <v>54</v>
      </c>
      <c r="L49" s="1" t="s">
        <v>27</v>
      </c>
      <c r="M49" s="1" t="s">
        <v>28</v>
      </c>
      <c r="N49">
        <v>4.4999999999999998E-2</v>
      </c>
      <c r="O49">
        <v>17294.259999999998</v>
      </c>
    </row>
    <row r="50" spans="1:15" x14ac:dyDescent="0.3">
      <c r="A50" s="1" t="s">
        <v>88</v>
      </c>
      <c r="B50" s="1" t="s">
        <v>37</v>
      </c>
      <c r="C50" s="1" t="s">
        <v>23</v>
      </c>
      <c r="D50">
        <v>4</v>
      </c>
      <c r="E50">
        <v>3</v>
      </c>
      <c r="F50">
        <v>810</v>
      </c>
      <c r="G50">
        <v>1273914</v>
      </c>
      <c r="H50">
        <v>1201286</v>
      </c>
      <c r="I50" s="2">
        <v>45310</v>
      </c>
      <c r="J50" s="2">
        <v>45359</v>
      </c>
      <c r="K50">
        <v>49</v>
      </c>
      <c r="L50" s="1" t="s">
        <v>42</v>
      </c>
      <c r="M50" s="1" t="s">
        <v>20</v>
      </c>
      <c r="N50">
        <v>4.4999999999999998E-2</v>
      </c>
      <c r="O50">
        <v>54057.87</v>
      </c>
    </row>
    <row r="51" spans="1:15" x14ac:dyDescent="0.3">
      <c r="A51" s="1" t="s">
        <v>89</v>
      </c>
      <c r="B51" s="1" t="s">
        <v>32</v>
      </c>
      <c r="C51" s="1" t="s">
        <v>35</v>
      </c>
      <c r="D51">
        <v>5</v>
      </c>
      <c r="E51">
        <v>2</v>
      </c>
      <c r="F51">
        <v>1346</v>
      </c>
      <c r="G51">
        <v>1153357</v>
      </c>
      <c r="H51">
        <v>1083242</v>
      </c>
      <c r="I51" s="2">
        <v>45220</v>
      </c>
      <c r="J51" s="2">
        <v>45297</v>
      </c>
      <c r="K51">
        <v>77</v>
      </c>
      <c r="L51" s="1" t="s">
        <v>53</v>
      </c>
      <c r="M51" s="1" t="s">
        <v>28</v>
      </c>
      <c r="N51">
        <v>0.05</v>
      </c>
      <c r="O51">
        <v>54162.1</v>
      </c>
    </row>
    <row r="52" spans="1:15" x14ac:dyDescent="0.3">
      <c r="A52" s="1" t="s">
        <v>90</v>
      </c>
      <c r="B52" s="1" t="s">
        <v>37</v>
      </c>
      <c r="C52" s="1" t="s">
        <v>18</v>
      </c>
      <c r="D52">
        <v>1</v>
      </c>
      <c r="E52">
        <v>4</v>
      </c>
      <c r="F52">
        <v>1927</v>
      </c>
      <c r="G52">
        <v>629673</v>
      </c>
      <c r="H52">
        <v>564634</v>
      </c>
      <c r="I52" s="2">
        <v>45533</v>
      </c>
      <c r="J52" s="2">
        <v>45566</v>
      </c>
      <c r="K52">
        <v>33</v>
      </c>
      <c r="L52" s="1" t="s">
        <v>39</v>
      </c>
      <c r="M52" s="1" t="s">
        <v>24</v>
      </c>
      <c r="N52">
        <v>0.05</v>
      </c>
      <c r="O52">
        <v>28231.7</v>
      </c>
    </row>
    <row r="53" spans="1:15" x14ac:dyDescent="0.3">
      <c r="A53" s="1" t="s">
        <v>91</v>
      </c>
      <c r="B53" s="1" t="s">
        <v>37</v>
      </c>
      <c r="C53" s="1" t="s">
        <v>23</v>
      </c>
      <c r="D53">
        <v>1</v>
      </c>
      <c r="E53">
        <v>3</v>
      </c>
      <c r="F53">
        <v>1494</v>
      </c>
      <c r="G53">
        <v>726819</v>
      </c>
      <c r="H53">
        <v>720445</v>
      </c>
      <c r="I53" s="2">
        <v>45104</v>
      </c>
      <c r="J53" s="2">
        <v>45180</v>
      </c>
      <c r="K53">
        <v>76</v>
      </c>
      <c r="L53" s="1" t="s">
        <v>30</v>
      </c>
      <c r="M53" s="1" t="s">
        <v>24</v>
      </c>
      <c r="N53">
        <v>4.4999999999999998E-2</v>
      </c>
      <c r="O53">
        <v>32420.02</v>
      </c>
    </row>
    <row r="54" spans="1:15" x14ac:dyDescent="0.3">
      <c r="A54" s="1" t="s">
        <v>92</v>
      </c>
      <c r="B54" s="1" t="s">
        <v>59</v>
      </c>
      <c r="C54" s="1" t="s">
        <v>18</v>
      </c>
      <c r="D54">
        <v>3</v>
      </c>
      <c r="E54">
        <v>4</v>
      </c>
      <c r="F54">
        <v>2505</v>
      </c>
      <c r="G54">
        <v>1705371</v>
      </c>
      <c r="H54">
        <v>1646240</v>
      </c>
      <c r="I54" s="2">
        <v>45626</v>
      </c>
      <c r="J54" s="2">
        <v>45692</v>
      </c>
      <c r="K54">
        <v>66</v>
      </c>
      <c r="L54" s="1" t="s">
        <v>53</v>
      </c>
      <c r="M54" s="1" t="s">
        <v>24</v>
      </c>
      <c r="N54">
        <v>4.4999999999999998E-2</v>
      </c>
      <c r="O54">
        <v>74080.800000000003</v>
      </c>
    </row>
    <row r="55" spans="1:15" x14ac:dyDescent="0.3">
      <c r="A55" s="1" t="s">
        <v>93</v>
      </c>
      <c r="B55" s="1" t="s">
        <v>22</v>
      </c>
      <c r="C55" s="1" t="s">
        <v>35</v>
      </c>
      <c r="D55">
        <v>1</v>
      </c>
      <c r="E55">
        <v>3</v>
      </c>
      <c r="F55">
        <v>2108</v>
      </c>
      <c r="G55">
        <v>1758405</v>
      </c>
      <c r="H55">
        <v>1739654</v>
      </c>
      <c r="I55" s="2">
        <v>45122</v>
      </c>
      <c r="J55" s="2">
        <v>45184</v>
      </c>
      <c r="K55">
        <v>62</v>
      </c>
      <c r="L55" s="1" t="s">
        <v>19</v>
      </c>
      <c r="M55" s="1" t="s">
        <v>20</v>
      </c>
      <c r="N55">
        <v>0.04</v>
      </c>
      <c r="O55">
        <v>69586.16</v>
      </c>
    </row>
    <row r="56" spans="1:15" x14ac:dyDescent="0.3">
      <c r="A56" s="1" t="s">
        <v>94</v>
      </c>
      <c r="B56" s="1" t="s">
        <v>41</v>
      </c>
      <c r="C56" s="1" t="s">
        <v>35</v>
      </c>
      <c r="D56">
        <v>1</v>
      </c>
      <c r="E56">
        <v>3</v>
      </c>
      <c r="F56">
        <v>3287</v>
      </c>
      <c r="G56">
        <v>1697916</v>
      </c>
      <c r="H56">
        <v>1629407</v>
      </c>
      <c r="I56" s="2">
        <v>45157</v>
      </c>
      <c r="J56" s="2">
        <v>45235</v>
      </c>
      <c r="K56">
        <v>78</v>
      </c>
      <c r="L56" s="1" t="s">
        <v>51</v>
      </c>
      <c r="M56" s="1" t="s">
        <v>20</v>
      </c>
      <c r="N56">
        <v>4.4999999999999998E-2</v>
      </c>
      <c r="O56">
        <v>73323.320000000007</v>
      </c>
    </row>
    <row r="57" spans="1:15" x14ac:dyDescent="0.3">
      <c r="A57" s="1" t="s">
        <v>95</v>
      </c>
      <c r="B57" s="1" t="s">
        <v>32</v>
      </c>
      <c r="C57" s="1" t="s">
        <v>18</v>
      </c>
      <c r="D57">
        <v>2</v>
      </c>
      <c r="E57">
        <v>1</v>
      </c>
      <c r="F57">
        <v>1270</v>
      </c>
      <c r="G57">
        <v>1098840</v>
      </c>
      <c r="H57">
        <v>1048366</v>
      </c>
      <c r="I57" s="2">
        <v>45589</v>
      </c>
      <c r="J57" s="2">
        <v>45668</v>
      </c>
      <c r="K57">
        <v>79</v>
      </c>
      <c r="L57" s="1" t="s">
        <v>27</v>
      </c>
      <c r="M57" s="1" t="s">
        <v>28</v>
      </c>
      <c r="N57">
        <v>0.05</v>
      </c>
      <c r="O57">
        <v>52418.3</v>
      </c>
    </row>
    <row r="58" spans="1:15" x14ac:dyDescent="0.3">
      <c r="A58" s="1" t="s">
        <v>96</v>
      </c>
      <c r="B58" s="1" t="s">
        <v>32</v>
      </c>
      <c r="C58" s="1" t="s">
        <v>23</v>
      </c>
      <c r="D58">
        <v>3</v>
      </c>
      <c r="E58">
        <v>2</v>
      </c>
      <c r="F58">
        <v>1285</v>
      </c>
      <c r="G58">
        <v>1408084</v>
      </c>
      <c r="H58">
        <v>1380992</v>
      </c>
      <c r="I58" s="2">
        <v>45506</v>
      </c>
      <c r="J58" s="2">
        <v>45574</v>
      </c>
      <c r="K58">
        <v>68</v>
      </c>
      <c r="L58" s="1" t="s">
        <v>42</v>
      </c>
      <c r="M58" s="1" t="s">
        <v>20</v>
      </c>
      <c r="N58">
        <v>4.4999999999999998E-2</v>
      </c>
      <c r="O58">
        <v>62144.639999999999</v>
      </c>
    </row>
    <row r="59" spans="1:15" x14ac:dyDescent="0.3">
      <c r="A59" s="1" t="s">
        <v>97</v>
      </c>
      <c r="B59" s="1" t="s">
        <v>26</v>
      </c>
      <c r="C59" s="1" t="s">
        <v>38</v>
      </c>
      <c r="D59">
        <v>4</v>
      </c>
      <c r="E59">
        <v>1</v>
      </c>
      <c r="F59">
        <v>881</v>
      </c>
      <c r="G59">
        <v>1702421</v>
      </c>
      <c r="H59">
        <v>1680056</v>
      </c>
      <c r="I59" s="2">
        <v>45397</v>
      </c>
      <c r="J59" s="2">
        <v>45426</v>
      </c>
      <c r="K59">
        <v>29</v>
      </c>
      <c r="L59" s="1" t="s">
        <v>39</v>
      </c>
      <c r="M59" s="1" t="s">
        <v>24</v>
      </c>
      <c r="N59">
        <v>0.04</v>
      </c>
      <c r="O59">
        <v>67202.240000000005</v>
      </c>
    </row>
    <row r="60" spans="1:15" x14ac:dyDescent="0.3">
      <c r="A60" s="1" t="s">
        <v>98</v>
      </c>
      <c r="B60" s="1" t="s">
        <v>26</v>
      </c>
      <c r="C60" s="1" t="s">
        <v>18</v>
      </c>
      <c r="D60">
        <v>5</v>
      </c>
      <c r="E60">
        <v>1</v>
      </c>
      <c r="F60">
        <v>2766</v>
      </c>
      <c r="G60">
        <v>1030662</v>
      </c>
      <c r="H60">
        <v>957655</v>
      </c>
      <c r="I60" s="2">
        <v>45101</v>
      </c>
      <c r="J60" s="2">
        <v>45124</v>
      </c>
      <c r="K60">
        <v>23</v>
      </c>
      <c r="L60" s="1" t="s">
        <v>19</v>
      </c>
      <c r="M60" s="1" t="s">
        <v>28</v>
      </c>
      <c r="N60">
        <v>0.04</v>
      </c>
      <c r="O60">
        <v>38306.199999999997</v>
      </c>
    </row>
    <row r="61" spans="1:15" x14ac:dyDescent="0.3">
      <c r="A61" s="1" t="s">
        <v>99</v>
      </c>
      <c r="B61" s="1" t="s">
        <v>41</v>
      </c>
      <c r="C61" s="1" t="s">
        <v>23</v>
      </c>
      <c r="D61">
        <v>4</v>
      </c>
      <c r="E61">
        <v>2</v>
      </c>
      <c r="F61">
        <v>3351</v>
      </c>
      <c r="G61">
        <v>654540</v>
      </c>
      <c r="H61">
        <v>636792</v>
      </c>
      <c r="I61" s="2">
        <v>45401</v>
      </c>
      <c r="J61" s="2">
        <v>45428</v>
      </c>
      <c r="K61">
        <v>27</v>
      </c>
      <c r="L61" s="1" t="s">
        <v>19</v>
      </c>
      <c r="M61" s="1" t="s">
        <v>28</v>
      </c>
      <c r="N61">
        <v>0.04</v>
      </c>
      <c r="O61">
        <v>25471.68</v>
      </c>
    </row>
    <row r="62" spans="1:15" x14ac:dyDescent="0.3">
      <c r="A62" s="1" t="s">
        <v>100</v>
      </c>
      <c r="B62" s="1" t="s">
        <v>32</v>
      </c>
      <c r="C62" s="1" t="s">
        <v>38</v>
      </c>
      <c r="D62">
        <v>5</v>
      </c>
      <c r="E62">
        <v>3</v>
      </c>
      <c r="F62">
        <v>3442</v>
      </c>
      <c r="G62">
        <v>1338377</v>
      </c>
      <c r="H62">
        <v>1278220</v>
      </c>
      <c r="I62" s="2">
        <v>45227</v>
      </c>
      <c r="J62" s="2">
        <v>45293</v>
      </c>
      <c r="K62">
        <v>66</v>
      </c>
      <c r="L62" s="1" t="s">
        <v>39</v>
      </c>
      <c r="M62" s="1" t="s">
        <v>24</v>
      </c>
      <c r="N62">
        <v>4.4999999999999998E-2</v>
      </c>
      <c r="O62">
        <v>57519.9</v>
      </c>
    </row>
    <row r="63" spans="1:15" x14ac:dyDescent="0.3">
      <c r="A63" s="1" t="s">
        <v>101</v>
      </c>
      <c r="B63" s="1" t="s">
        <v>32</v>
      </c>
      <c r="C63" s="1" t="s">
        <v>38</v>
      </c>
      <c r="D63">
        <v>1</v>
      </c>
      <c r="E63">
        <v>4</v>
      </c>
      <c r="F63">
        <v>1869</v>
      </c>
      <c r="G63">
        <v>1054284</v>
      </c>
      <c r="H63">
        <v>1023631</v>
      </c>
      <c r="I63" s="2">
        <v>45091</v>
      </c>
      <c r="J63" s="2">
        <v>45165</v>
      </c>
      <c r="K63">
        <v>74</v>
      </c>
      <c r="L63" s="1" t="s">
        <v>44</v>
      </c>
      <c r="M63" s="1" t="s">
        <v>20</v>
      </c>
      <c r="N63">
        <v>4.4999999999999998E-2</v>
      </c>
      <c r="O63">
        <v>46063.39</v>
      </c>
    </row>
    <row r="64" spans="1:15" x14ac:dyDescent="0.3">
      <c r="A64" s="1" t="s">
        <v>102</v>
      </c>
      <c r="B64" s="1" t="s">
        <v>32</v>
      </c>
      <c r="C64" s="1" t="s">
        <v>35</v>
      </c>
      <c r="D64">
        <v>1</v>
      </c>
      <c r="E64">
        <v>3</v>
      </c>
      <c r="F64">
        <v>2134</v>
      </c>
      <c r="G64">
        <v>1245749</v>
      </c>
      <c r="H64">
        <v>1221376</v>
      </c>
      <c r="I64" s="2">
        <v>45217</v>
      </c>
      <c r="J64" s="2">
        <v>45293</v>
      </c>
      <c r="K64">
        <v>76</v>
      </c>
      <c r="L64" s="1" t="s">
        <v>30</v>
      </c>
      <c r="M64" s="1" t="s">
        <v>20</v>
      </c>
      <c r="N64">
        <v>4.4999999999999998E-2</v>
      </c>
      <c r="O64">
        <v>54961.919999999998</v>
      </c>
    </row>
    <row r="65" spans="1:15" x14ac:dyDescent="0.3">
      <c r="A65" s="1" t="s">
        <v>103</v>
      </c>
      <c r="B65" s="1" t="s">
        <v>26</v>
      </c>
      <c r="C65" s="1" t="s">
        <v>38</v>
      </c>
      <c r="D65">
        <v>3</v>
      </c>
      <c r="E65">
        <v>3</v>
      </c>
      <c r="F65">
        <v>1404</v>
      </c>
      <c r="G65">
        <v>476610</v>
      </c>
      <c r="H65">
        <v>476488</v>
      </c>
      <c r="I65" s="2">
        <v>45181</v>
      </c>
      <c r="J65" s="2">
        <v>45214</v>
      </c>
      <c r="K65">
        <v>33</v>
      </c>
      <c r="L65" s="1" t="s">
        <v>53</v>
      </c>
      <c r="M65" s="1" t="s">
        <v>28</v>
      </c>
      <c r="N65">
        <v>0.04</v>
      </c>
      <c r="O65">
        <v>19059.52</v>
      </c>
    </row>
    <row r="66" spans="1:15" x14ac:dyDescent="0.3">
      <c r="A66" s="1" t="s">
        <v>104</v>
      </c>
      <c r="B66" s="1" t="s">
        <v>37</v>
      </c>
      <c r="C66" s="1" t="s">
        <v>35</v>
      </c>
      <c r="D66">
        <v>1</v>
      </c>
      <c r="E66">
        <v>2</v>
      </c>
      <c r="F66">
        <v>707</v>
      </c>
      <c r="G66">
        <v>700258</v>
      </c>
      <c r="H66">
        <v>684234</v>
      </c>
      <c r="I66" s="2">
        <v>45197</v>
      </c>
      <c r="J66" s="2">
        <v>45213</v>
      </c>
      <c r="K66">
        <v>16</v>
      </c>
      <c r="L66" s="1" t="s">
        <v>51</v>
      </c>
      <c r="M66" s="1" t="s">
        <v>28</v>
      </c>
      <c r="N66">
        <v>0.04</v>
      </c>
      <c r="O66">
        <v>27369.360000000001</v>
      </c>
    </row>
    <row r="67" spans="1:15" x14ac:dyDescent="0.3">
      <c r="A67" s="1" t="s">
        <v>105</v>
      </c>
      <c r="B67" s="1" t="s">
        <v>26</v>
      </c>
      <c r="C67" s="1" t="s">
        <v>33</v>
      </c>
      <c r="D67">
        <v>3</v>
      </c>
      <c r="E67">
        <v>4</v>
      </c>
      <c r="F67">
        <v>3446</v>
      </c>
      <c r="G67">
        <v>1411326</v>
      </c>
      <c r="H67">
        <v>1359126</v>
      </c>
      <c r="I67" s="2">
        <v>45557</v>
      </c>
      <c r="J67" s="2">
        <v>45615</v>
      </c>
      <c r="K67">
        <v>58</v>
      </c>
      <c r="L67" s="1" t="s">
        <v>53</v>
      </c>
      <c r="M67" s="1" t="s">
        <v>20</v>
      </c>
      <c r="N67">
        <v>0.04</v>
      </c>
      <c r="O67">
        <v>54365.04</v>
      </c>
    </row>
    <row r="68" spans="1:15" x14ac:dyDescent="0.3">
      <c r="A68" s="1" t="s">
        <v>106</v>
      </c>
      <c r="B68" s="1" t="s">
        <v>17</v>
      </c>
      <c r="C68" s="1" t="s">
        <v>33</v>
      </c>
      <c r="D68">
        <v>5</v>
      </c>
      <c r="E68">
        <v>2</v>
      </c>
      <c r="F68">
        <v>3498</v>
      </c>
      <c r="G68">
        <v>1106507</v>
      </c>
      <c r="H68">
        <v>1042859</v>
      </c>
      <c r="I68" s="2">
        <v>45266</v>
      </c>
      <c r="J68" s="2">
        <v>45313</v>
      </c>
      <c r="K68">
        <v>47</v>
      </c>
      <c r="L68" s="1" t="s">
        <v>44</v>
      </c>
      <c r="M68" s="1" t="s">
        <v>28</v>
      </c>
      <c r="N68">
        <v>0.04</v>
      </c>
      <c r="O68">
        <v>41714.36</v>
      </c>
    </row>
    <row r="69" spans="1:15" x14ac:dyDescent="0.3">
      <c r="A69" s="1" t="s">
        <v>107</v>
      </c>
      <c r="B69" s="1" t="s">
        <v>59</v>
      </c>
      <c r="C69" s="1" t="s">
        <v>33</v>
      </c>
      <c r="D69">
        <v>2</v>
      </c>
      <c r="E69">
        <v>4</v>
      </c>
      <c r="F69">
        <v>3443</v>
      </c>
      <c r="G69">
        <v>918845</v>
      </c>
      <c r="H69">
        <v>850035</v>
      </c>
      <c r="I69" s="2">
        <v>45489</v>
      </c>
      <c r="J69" s="2">
        <v>45520</v>
      </c>
      <c r="K69">
        <v>31</v>
      </c>
      <c r="L69" s="1" t="s">
        <v>30</v>
      </c>
      <c r="M69" s="1" t="s">
        <v>24</v>
      </c>
      <c r="N69">
        <v>4.4999999999999998E-2</v>
      </c>
      <c r="O69">
        <v>38251.57</v>
      </c>
    </row>
    <row r="70" spans="1:15" x14ac:dyDescent="0.3">
      <c r="A70" s="1" t="s">
        <v>108</v>
      </c>
      <c r="B70" s="1" t="s">
        <v>32</v>
      </c>
      <c r="C70" s="1" t="s">
        <v>18</v>
      </c>
      <c r="D70">
        <v>5</v>
      </c>
      <c r="E70">
        <v>2</v>
      </c>
      <c r="F70">
        <v>742</v>
      </c>
      <c r="G70">
        <v>1555630</v>
      </c>
      <c r="H70">
        <v>1547429</v>
      </c>
      <c r="I70" s="2">
        <v>45133</v>
      </c>
      <c r="J70" s="2">
        <v>45182</v>
      </c>
      <c r="K70">
        <v>49</v>
      </c>
      <c r="L70" s="1" t="s">
        <v>53</v>
      </c>
      <c r="M70" s="1" t="s">
        <v>20</v>
      </c>
      <c r="N70">
        <v>0.04</v>
      </c>
      <c r="O70">
        <v>61897.16</v>
      </c>
    </row>
    <row r="71" spans="1:15" x14ac:dyDescent="0.3">
      <c r="A71" s="1" t="s">
        <v>109</v>
      </c>
      <c r="B71" s="1" t="s">
        <v>22</v>
      </c>
      <c r="C71" s="1" t="s">
        <v>23</v>
      </c>
      <c r="D71">
        <v>5</v>
      </c>
      <c r="E71">
        <v>3</v>
      </c>
      <c r="F71">
        <v>681</v>
      </c>
      <c r="G71">
        <v>1120670</v>
      </c>
      <c r="H71">
        <v>1093904</v>
      </c>
      <c r="I71" s="2">
        <v>45032</v>
      </c>
      <c r="J71" s="2">
        <v>45111</v>
      </c>
      <c r="K71">
        <v>79</v>
      </c>
      <c r="L71" s="1" t="s">
        <v>42</v>
      </c>
      <c r="M71" s="1" t="s">
        <v>24</v>
      </c>
      <c r="N71">
        <v>0.05</v>
      </c>
      <c r="O71">
        <v>54695.199999999997</v>
      </c>
    </row>
    <row r="72" spans="1:15" x14ac:dyDescent="0.3">
      <c r="A72" s="1" t="s">
        <v>110</v>
      </c>
      <c r="B72" s="1" t="s">
        <v>17</v>
      </c>
      <c r="C72" s="1" t="s">
        <v>23</v>
      </c>
      <c r="D72">
        <v>1</v>
      </c>
      <c r="E72">
        <v>1</v>
      </c>
      <c r="F72">
        <v>2275</v>
      </c>
      <c r="G72">
        <v>600781</v>
      </c>
      <c r="H72">
        <v>572170</v>
      </c>
      <c r="I72" s="2">
        <v>45236</v>
      </c>
      <c r="J72" s="2">
        <v>45296</v>
      </c>
      <c r="K72">
        <v>60</v>
      </c>
      <c r="L72" s="1" t="s">
        <v>39</v>
      </c>
      <c r="M72" s="1" t="s">
        <v>24</v>
      </c>
      <c r="N72">
        <v>0.05</v>
      </c>
      <c r="O72">
        <v>28608.5</v>
      </c>
    </row>
    <row r="73" spans="1:15" x14ac:dyDescent="0.3">
      <c r="A73" s="1" t="s">
        <v>111</v>
      </c>
      <c r="B73" s="1" t="s">
        <v>59</v>
      </c>
      <c r="C73" s="1" t="s">
        <v>38</v>
      </c>
      <c r="D73">
        <v>2</v>
      </c>
      <c r="E73">
        <v>4</v>
      </c>
      <c r="F73">
        <v>603</v>
      </c>
      <c r="G73">
        <v>1334577</v>
      </c>
      <c r="H73">
        <v>1306315</v>
      </c>
      <c r="I73" s="2">
        <v>45598</v>
      </c>
      <c r="J73" s="2">
        <v>45643</v>
      </c>
      <c r="K73">
        <v>45</v>
      </c>
      <c r="L73" s="1" t="s">
        <v>19</v>
      </c>
      <c r="M73" s="1" t="s">
        <v>20</v>
      </c>
      <c r="N73">
        <v>0.05</v>
      </c>
      <c r="O73">
        <v>65315.75</v>
      </c>
    </row>
    <row r="74" spans="1:15" x14ac:dyDescent="0.3">
      <c r="A74" s="1" t="s">
        <v>112</v>
      </c>
      <c r="B74" s="1" t="s">
        <v>17</v>
      </c>
      <c r="C74" s="1" t="s">
        <v>23</v>
      </c>
      <c r="D74">
        <v>5</v>
      </c>
      <c r="E74">
        <v>4</v>
      </c>
      <c r="F74">
        <v>804</v>
      </c>
      <c r="G74">
        <v>1744750</v>
      </c>
      <c r="H74">
        <v>1734659</v>
      </c>
      <c r="I74" s="2">
        <v>45310</v>
      </c>
      <c r="J74" s="2">
        <v>45369</v>
      </c>
      <c r="K74">
        <v>59</v>
      </c>
      <c r="L74" s="1" t="s">
        <v>30</v>
      </c>
      <c r="M74" s="1" t="s">
        <v>24</v>
      </c>
      <c r="N74">
        <v>0.04</v>
      </c>
      <c r="O74">
        <v>69386.36</v>
      </c>
    </row>
    <row r="75" spans="1:15" x14ac:dyDescent="0.3">
      <c r="A75" s="1" t="s">
        <v>113</v>
      </c>
      <c r="B75" s="1" t="s">
        <v>41</v>
      </c>
      <c r="C75" s="1" t="s">
        <v>38</v>
      </c>
      <c r="D75">
        <v>2</v>
      </c>
      <c r="E75">
        <v>4</v>
      </c>
      <c r="F75">
        <v>1282</v>
      </c>
      <c r="G75">
        <v>675423</v>
      </c>
      <c r="H75">
        <v>653450</v>
      </c>
      <c r="I75" s="2">
        <v>45072</v>
      </c>
      <c r="J75" s="2">
        <v>45077</v>
      </c>
      <c r="K75">
        <v>5</v>
      </c>
      <c r="L75" s="1" t="s">
        <v>27</v>
      </c>
      <c r="M75" s="1" t="s">
        <v>20</v>
      </c>
      <c r="N75">
        <v>0.05</v>
      </c>
      <c r="O75">
        <v>32672.5</v>
      </c>
    </row>
    <row r="76" spans="1:15" x14ac:dyDescent="0.3">
      <c r="A76" s="1" t="s">
        <v>114</v>
      </c>
      <c r="B76" s="1" t="s">
        <v>41</v>
      </c>
      <c r="C76" s="1" t="s">
        <v>23</v>
      </c>
      <c r="D76">
        <v>1</v>
      </c>
      <c r="E76">
        <v>3</v>
      </c>
      <c r="F76">
        <v>1878</v>
      </c>
      <c r="G76">
        <v>1012813</v>
      </c>
      <c r="H76">
        <v>974014</v>
      </c>
      <c r="I76" s="2">
        <v>45044</v>
      </c>
      <c r="J76" s="2">
        <v>45085</v>
      </c>
      <c r="K76">
        <v>41</v>
      </c>
      <c r="L76" s="1" t="s">
        <v>53</v>
      </c>
      <c r="M76" s="1" t="s">
        <v>20</v>
      </c>
      <c r="N76">
        <v>0.05</v>
      </c>
      <c r="O76">
        <v>48700.7</v>
      </c>
    </row>
    <row r="77" spans="1:15" x14ac:dyDescent="0.3">
      <c r="A77" s="1" t="s">
        <v>115</v>
      </c>
      <c r="B77" s="1" t="s">
        <v>22</v>
      </c>
      <c r="C77" s="1" t="s">
        <v>23</v>
      </c>
      <c r="D77">
        <v>4</v>
      </c>
      <c r="E77">
        <v>2</v>
      </c>
      <c r="F77">
        <v>3264</v>
      </c>
      <c r="G77">
        <v>1548653</v>
      </c>
      <c r="H77">
        <v>1491677</v>
      </c>
      <c r="I77" s="2">
        <v>45250</v>
      </c>
      <c r="J77" s="2">
        <v>45274</v>
      </c>
      <c r="K77">
        <v>24</v>
      </c>
      <c r="L77" s="1" t="s">
        <v>19</v>
      </c>
      <c r="M77" s="1" t="s">
        <v>24</v>
      </c>
      <c r="N77">
        <v>0.05</v>
      </c>
      <c r="O77">
        <v>74583.850000000006</v>
      </c>
    </row>
    <row r="78" spans="1:15" x14ac:dyDescent="0.3">
      <c r="A78" s="1" t="s">
        <v>116</v>
      </c>
      <c r="B78" s="1" t="s">
        <v>41</v>
      </c>
      <c r="C78" s="1" t="s">
        <v>38</v>
      </c>
      <c r="D78">
        <v>3</v>
      </c>
      <c r="E78">
        <v>1</v>
      </c>
      <c r="F78">
        <v>2300</v>
      </c>
      <c r="G78">
        <v>919715</v>
      </c>
      <c r="H78">
        <v>862897</v>
      </c>
      <c r="I78" s="2">
        <v>45117</v>
      </c>
      <c r="J78" s="2">
        <v>45181</v>
      </c>
      <c r="K78">
        <v>64</v>
      </c>
      <c r="L78" s="1" t="s">
        <v>19</v>
      </c>
      <c r="M78" s="1" t="s">
        <v>28</v>
      </c>
      <c r="N78">
        <v>0.05</v>
      </c>
      <c r="O78">
        <v>43144.85</v>
      </c>
    </row>
    <row r="79" spans="1:15" x14ac:dyDescent="0.3">
      <c r="A79" s="1" t="s">
        <v>117</v>
      </c>
      <c r="B79" s="1" t="s">
        <v>59</v>
      </c>
      <c r="C79" s="1" t="s">
        <v>33</v>
      </c>
      <c r="D79">
        <v>4</v>
      </c>
      <c r="E79">
        <v>2</v>
      </c>
      <c r="F79">
        <v>1539</v>
      </c>
      <c r="G79">
        <v>833353</v>
      </c>
      <c r="H79">
        <v>773332</v>
      </c>
      <c r="I79" s="2">
        <v>45584</v>
      </c>
      <c r="J79" s="2">
        <v>45643</v>
      </c>
      <c r="K79">
        <v>59</v>
      </c>
      <c r="L79" s="1" t="s">
        <v>53</v>
      </c>
      <c r="M79" s="1" t="s">
        <v>28</v>
      </c>
      <c r="N79">
        <v>0.05</v>
      </c>
      <c r="O79">
        <v>38666.6</v>
      </c>
    </row>
    <row r="80" spans="1:15" x14ac:dyDescent="0.3">
      <c r="A80" s="1" t="s">
        <v>118</v>
      </c>
      <c r="B80" s="1" t="s">
        <v>17</v>
      </c>
      <c r="C80" s="1" t="s">
        <v>18</v>
      </c>
      <c r="D80">
        <v>1</v>
      </c>
      <c r="E80">
        <v>1</v>
      </c>
      <c r="F80">
        <v>2278</v>
      </c>
      <c r="G80">
        <v>828348</v>
      </c>
      <c r="H80">
        <v>808745</v>
      </c>
      <c r="I80" s="2">
        <v>45456</v>
      </c>
      <c r="J80" s="2">
        <v>45501</v>
      </c>
      <c r="K80">
        <v>45</v>
      </c>
      <c r="L80" s="1" t="s">
        <v>51</v>
      </c>
      <c r="M80" s="1" t="s">
        <v>24</v>
      </c>
      <c r="N80">
        <v>0.04</v>
      </c>
      <c r="O80">
        <v>32349.8</v>
      </c>
    </row>
    <row r="81" spans="1:15" x14ac:dyDescent="0.3">
      <c r="A81" s="1" t="s">
        <v>119</v>
      </c>
      <c r="B81" s="1" t="s">
        <v>32</v>
      </c>
      <c r="C81" s="1" t="s">
        <v>33</v>
      </c>
      <c r="D81">
        <v>3</v>
      </c>
      <c r="E81">
        <v>3</v>
      </c>
      <c r="F81">
        <v>739</v>
      </c>
      <c r="G81">
        <v>1571740</v>
      </c>
      <c r="H81">
        <v>1544949</v>
      </c>
      <c r="I81" s="2">
        <v>45350</v>
      </c>
      <c r="J81" s="2">
        <v>45379</v>
      </c>
      <c r="K81">
        <v>29</v>
      </c>
      <c r="L81" s="1" t="s">
        <v>53</v>
      </c>
      <c r="M81" s="1" t="s">
        <v>24</v>
      </c>
      <c r="N81">
        <v>4.4999999999999998E-2</v>
      </c>
      <c r="O81">
        <v>69522.710000000006</v>
      </c>
    </row>
    <row r="82" spans="1:15" x14ac:dyDescent="0.3">
      <c r="A82" s="1" t="s">
        <v>120</v>
      </c>
      <c r="B82" s="1" t="s">
        <v>48</v>
      </c>
      <c r="C82" s="1" t="s">
        <v>18</v>
      </c>
      <c r="D82">
        <v>3</v>
      </c>
      <c r="E82">
        <v>1</v>
      </c>
      <c r="F82">
        <v>832</v>
      </c>
      <c r="G82">
        <v>1226974</v>
      </c>
      <c r="H82">
        <v>1200654</v>
      </c>
      <c r="I82" s="2">
        <v>45538</v>
      </c>
      <c r="J82" s="2">
        <v>45546</v>
      </c>
      <c r="K82">
        <v>8</v>
      </c>
      <c r="L82" s="1" t="s">
        <v>30</v>
      </c>
      <c r="M82" s="1" t="s">
        <v>28</v>
      </c>
      <c r="N82">
        <v>4.4999999999999998E-2</v>
      </c>
      <c r="O82">
        <v>54029.43</v>
      </c>
    </row>
    <row r="83" spans="1:15" x14ac:dyDescent="0.3">
      <c r="A83" s="1" t="s">
        <v>121</v>
      </c>
      <c r="B83" s="1" t="s">
        <v>32</v>
      </c>
      <c r="C83" s="1" t="s">
        <v>33</v>
      </c>
      <c r="D83">
        <v>3</v>
      </c>
      <c r="E83">
        <v>4</v>
      </c>
      <c r="F83">
        <v>1738</v>
      </c>
      <c r="G83">
        <v>1776462</v>
      </c>
      <c r="H83">
        <v>1750686</v>
      </c>
      <c r="I83" s="2">
        <v>45254</v>
      </c>
      <c r="J83" s="2">
        <v>45303</v>
      </c>
      <c r="K83">
        <v>49</v>
      </c>
      <c r="L83" s="1" t="s">
        <v>39</v>
      </c>
      <c r="M83" s="1" t="s">
        <v>28</v>
      </c>
      <c r="N83">
        <v>4.4999999999999998E-2</v>
      </c>
      <c r="O83">
        <v>78780.87</v>
      </c>
    </row>
    <row r="84" spans="1:15" x14ac:dyDescent="0.3">
      <c r="A84" s="1" t="s">
        <v>122</v>
      </c>
      <c r="B84" s="1" t="s">
        <v>22</v>
      </c>
      <c r="C84" s="1" t="s">
        <v>38</v>
      </c>
      <c r="D84">
        <v>5</v>
      </c>
      <c r="E84">
        <v>2</v>
      </c>
      <c r="F84">
        <v>998</v>
      </c>
      <c r="G84">
        <v>949118</v>
      </c>
      <c r="H84">
        <v>928562</v>
      </c>
      <c r="I84" s="2">
        <v>45052</v>
      </c>
      <c r="J84" s="2">
        <v>45113</v>
      </c>
      <c r="K84">
        <v>61</v>
      </c>
      <c r="L84" s="1" t="s">
        <v>27</v>
      </c>
      <c r="M84" s="1" t="s">
        <v>20</v>
      </c>
      <c r="N84">
        <v>4.4999999999999998E-2</v>
      </c>
      <c r="O84">
        <v>41785.29</v>
      </c>
    </row>
    <row r="85" spans="1:15" x14ac:dyDescent="0.3">
      <c r="A85" s="1" t="s">
        <v>123</v>
      </c>
      <c r="B85" s="1" t="s">
        <v>17</v>
      </c>
      <c r="C85" s="1" t="s">
        <v>18</v>
      </c>
      <c r="D85">
        <v>4</v>
      </c>
      <c r="E85">
        <v>1</v>
      </c>
      <c r="F85">
        <v>3263</v>
      </c>
      <c r="G85">
        <v>1164997</v>
      </c>
      <c r="H85">
        <v>1119340</v>
      </c>
      <c r="I85" s="2">
        <v>45609</v>
      </c>
      <c r="J85" s="2">
        <v>45654</v>
      </c>
      <c r="K85">
        <v>45</v>
      </c>
      <c r="L85" s="1" t="s">
        <v>39</v>
      </c>
      <c r="M85" s="1" t="s">
        <v>24</v>
      </c>
      <c r="N85">
        <v>0.05</v>
      </c>
      <c r="O85">
        <v>55967</v>
      </c>
    </row>
    <row r="86" spans="1:15" x14ac:dyDescent="0.3">
      <c r="A86" s="1" t="s">
        <v>124</v>
      </c>
      <c r="B86" s="1" t="s">
        <v>59</v>
      </c>
      <c r="C86" s="1" t="s">
        <v>33</v>
      </c>
      <c r="D86">
        <v>1</v>
      </c>
      <c r="E86">
        <v>3</v>
      </c>
      <c r="F86">
        <v>758</v>
      </c>
      <c r="G86">
        <v>412344</v>
      </c>
      <c r="H86">
        <v>335351</v>
      </c>
      <c r="I86" s="2">
        <v>45133</v>
      </c>
      <c r="J86" s="2">
        <v>45178</v>
      </c>
      <c r="K86">
        <v>45</v>
      </c>
      <c r="L86" s="1" t="s">
        <v>30</v>
      </c>
      <c r="M86" s="1" t="s">
        <v>28</v>
      </c>
      <c r="N86">
        <v>4.4999999999999998E-2</v>
      </c>
      <c r="O86">
        <v>15090.8</v>
      </c>
    </row>
    <row r="87" spans="1:15" x14ac:dyDescent="0.3">
      <c r="A87" s="1" t="s">
        <v>125</v>
      </c>
      <c r="B87" s="1" t="s">
        <v>22</v>
      </c>
      <c r="C87" s="1" t="s">
        <v>18</v>
      </c>
      <c r="D87">
        <v>2</v>
      </c>
      <c r="E87">
        <v>3</v>
      </c>
      <c r="F87">
        <v>1552</v>
      </c>
      <c r="G87">
        <v>1176801</v>
      </c>
      <c r="H87">
        <v>1118056</v>
      </c>
      <c r="I87" s="2">
        <v>44987</v>
      </c>
      <c r="J87" s="2">
        <v>44999</v>
      </c>
      <c r="K87">
        <v>12</v>
      </c>
      <c r="L87" s="1" t="s">
        <v>27</v>
      </c>
      <c r="M87" s="1" t="s">
        <v>28</v>
      </c>
      <c r="N87">
        <v>0.05</v>
      </c>
      <c r="O87">
        <v>55902.8</v>
      </c>
    </row>
    <row r="88" spans="1:15" x14ac:dyDescent="0.3">
      <c r="A88" s="1" t="s">
        <v>126</v>
      </c>
      <c r="B88" s="1" t="s">
        <v>26</v>
      </c>
      <c r="C88" s="1" t="s">
        <v>35</v>
      </c>
      <c r="D88">
        <v>3</v>
      </c>
      <c r="E88">
        <v>4</v>
      </c>
      <c r="F88">
        <v>1159</v>
      </c>
      <c r="G88">
        <v>1049884</v>
      </c>
      <c r="H88">
        <v>1024074</v>
      </c>
      <c r="I88" s="2">
        <v>44935</v>
      </c>
      <c r="J88" s="2">
        <v>45001</v>
      </c>
      <c r="K88">
        <v>66</v>
      </c>
      <c r="L88" s="1" t="s">
        <v>39</v>
      </c>
      <c r="M88" s="1" t="s">
        <v>28</v>
      </c>
      <c r="N88">
        <v>0.05</v>
      </c>
      <c r="O88">
        <v>51203.7</v>
      </c>
    </row>
    <row r="89" spans="1:15" x14ac:dyDescent="0.3">
      <c r="A89" s="1" t="s">
        <v>127</v>
      </c>
      <c r="B89" s="1" t="s">
        <v>59</v>
      </c>
      <c r="C89" s="1" t="s">
        <v>35</v>
      </c>
      <c r="D89">
        <v>4</v>
      </c>
      <c r="E89">
        <v>3</v>
      </c>
      <c r="F89">
        <v>1472</v>
      </c>
      <c r="G89">
        <v>1290284</v>
      </c>
      <c r="H89">
        <v>1223395</v>
      </c>
      <c r="I89" s="2">
        <v>45213</v>
      </c>
      <c r="J89" s="2">
        <v>45295</v>
      </c>
      <c r="K89">
        <v>82</v>
      </c>
      <c r="L89" s="1" t="s">
        <v>19</v>
      </c>
      <c r="M89" s="1" t="s">
        <v>28</v>
      </c>
      <c r="N89">
        <v>4.4999999999999998E-2</v>
      </c>
      <c r="O89">
        <v>55052.78</v>
      </c>
    </row>
    <row r="90" spans="1:15" x14ac:dyDescent="0.3">
      <c r="A90" s="1" t="s">
        <v>128</v>
      </c>
      <c r="B90" s="1" t="s">
        <v>41</v>
      </c>
      <c r="C90" s="1" t="s">
        <v>35</v>
      </c>
      <c r="D90">
        <v>4</v>
      </c>
      <c r="E90">
        <v>3</v>
      </c>
      <c r="F90">
        <v>3067</v>
      </c>
      <c r="G90">
        <v>624183</v>
      </c>
      <c r="H90">
        <v>607004</v>
      </c>
      <c r="I90" s="2">
        <v>45061</v>
      </c>
      <c r="J90" s="2">
        <v>45091</v>
      </c>
      <c r="K90">
        <v>30</v>
      </c>
      <c r="L90" s="1" t="s">
        <v>51</v>
      </c>
      <c r="M90" s="1" t="s">
        <v>24</v>
      </c>
      <c r="N90">
        <v>4.4999999999999998E-2</v>
      </c>
      <c r="O90">
        <v>27315.18</v>
      </c>
    </row>
    <row r="91" spans="1:15" x14ac:dyDescent="0.3">
      <c r="A91" s="1" t="s">
        <v>129</v>
      </c>
      <c r="B91" s="1" t="s">
        <v>37</v>
      </c>
      <c r="C91" s="1" t="s">
        <v>18</v>
      </c>
      <c r="D91">
        <v>3</v>
      </c>
      <c r="E91">
        <v>2</v>
      </c>
      <c r="F91">
        <v>3403</v>
      </c>
      <c r="G91">
        <v>1226820</v>
      </c>
      <c r="H91">
        <v>1198725</v>
      </c>
      <c r="I91" s="2">
        <v>45552</v>
      </c>
      <c r="J91" s="2">
        <v>45626</v>
      </c>
      <c r="K91">
        <v>74</v>
      </c>
      <c r="L91" s="1" t="s">
        <v>19</v>
      </c>
      <c r="M91" s="1" t="s">
        <v>28</v>
      </c>
      <c r="N91">
        <v>4.4999999999999998E-2</v>
      </c>
      <c r="O91">
        <v>53942.62</v>
      </c>
    </row>
    <row r="92" spans="1:15" x14ac:dyDescent="0.3">
      <c r="A92" s="1" t="s">
        <v>130</v>
      </c>
      <c r="B92" s="1" t="s">
        <v>48</v>
      </c>
      <c r="C92" s="1" t="s">
        <v>18</v>
      </c>
      <c r="D92">
        <v>3</v>
      </c>
      <c r="E92">
        <v>3</v>
      </c>
      <c r="F92">
        <v>2184</v>
      </c>
      <c r="G92">
        <v>1286620</v>
      </c>
      <c r="H92">
        <v>1234803</v>
      </c>
      <c r="I92" s="2">
        <v>45379</v>
      </c>
      <c r="J92" s="2">
        <v>45433</v>
      </c>
      <c r="K92">
        <v>54</v>
      </c>
      <c r="L92" s="1" t="s">
        <v>30</v>
      </c>
      <c r="M92" s="1" t="s">
        <v>28</v>
      </c>
      <c r="N92">
        <v>0.04</v>
      </c>
      <c r="O92">
        <v>49392.12</v>
      </c>
    </row>
    <row r="93" spans="1:15" x14ac:dyDescent="0.3">
      <c r="A93" s="1" t="s">
        <v>131</v>
      </c>
      <c r="B93" s="1" t="s">
        <v>41</v>
      </c>
      <c r="C93" s="1" t="s">
        <v>23</v>
      </c>
      <c r="D93">
        <v>2</v>
      </c>
      <c r="E93">
        <v>4</v>
      </c>
      <c r="F93">
        <v>2784</v>
      </c>
      <c r="G93">
        <v>1089075</v>
      </c>
      <c r="H93">
        <v>1010019</v>
      </c>
      <c r="I93" s="2">
        <v>45530</v>
      </c>
      <c r="J93" s="2">
        <v>45567</v>
      </c>
      <c r="K93">
        <v>37</v>
      </c>
      <c r="L93" s="1" t="s">
        <v>39</v>
      </c>
      <c r="M93" s="1" t="s">
        <v>20</v>
      </c>
      <c r="N93">
        <v>0.04</v>
      </c>
      <c r="O93">
        <v>40400.76</v>
      </c>
    </row>
    <row r="94" spans="1:15" x14ac:dyDescent="0.3">
      <c r="A94" s="1" t="s">
        <v>132</v>
      </c>
      <c r="B94" s="1" t="s">
        <v>59</v>
      </c>
      <c r="C94" s="1" t="s">
        <v>18</v>
      </c>
      <c r="D94">
        <v>1</v>
      </c>
      <c r="E94">
        <v>2</v>
      </c>
      <c r="F94">
        <v>1848</v>
      </c>
      <c r="G94">
        <v>556971</v>
      </c>
      <c r="H94">
        <v>484212</v>
      </c>
      <c r="I94" s="2">
        <v>45115</v>
      </c>
      <c r="J94" s="2">
        <v>45162</v>
      </c>
      <c r="K94">
        <v>47</v>
      </c>
      <c r="L94" s="1" t="s">
        <v>30</v>
      </c>
      <c r="M94" s="1" t="s">
        <v>28</v>
      </c>
      <c r="N94">
        <v>0.05</v>
      </c>
      <c r="O94">
        <v>24210.6</v>
      </c>
    </row>
    <row r="95" spans="1:15" x14ac:dyDescent="0.3">
      <c r="A95" s="1" t="s">
        <v>133</v>
      </c>
      <c r="B95" s="1" t="s">
        <v>22</v>
      </c>
      <c r="C95" s="1" t="s">
        <v>18</v>
      </c>
      <c r="D95">
        <v>4</v>
      </c>
      <c r="E95">
        <v>1</v>
      </c>
      <c r="F95">
        <v>902</v>
      </c>
      <c r="G95">
        <v>961038</v>
      </c>
      <c r="H95">
        <v>946082</v>
      </c>
      <c r="I95" s="2">
        <v>45388</v>
      </c>
      <c r="J95" s="2">
        <v>45444</v>
      </c>
      <c r="K95">
        <v>56</v>
      </c>
      <c r="L95" s="1" t="s">
        <v>30</v>
      </c>
      <c r="M95" s="1" t="s">
        <v>20</v>
      </c>
      <c r="N95">
        <v>0.05</v>
      </c>
      <c r="O95">
        <v>47304.1</v>
      </c>
    </row>
    <row r="96" spans="1:15" x14ac:dyDescent="0.3">
      <c r="A96" s="1" t="s">
        <v>134</v>
      </c>
      <c r="B96" s="1" t="s">
        <v>48</v>
      </c>
      <c r="C96" s="1" t="s">
        <v>35</v>
      </c>
      <c r="D96">
        <v>4</v>
      </c>
      <c r="E96">
        <v>4</v>
      </c>
      <c r="F96">
        <v>1550</v>
      </c>
      <c r="G96">
        <v>1162615</v>
      </c>
      <c r="H96">
        <v>1157598</v>
      </c>
      <c r="I96" s="2">
        <v>44932</v>
      </c>
      <c r="J96" s="2">
        <v>44963</v>
      </c>
      <c r="K96">
        <v>31</v>
      </c>
      <c r="L96" s="1" t="s">
        <v>51</v>
      </c>
      <c r="M96" s="1" t="s">
        <v>20</v>
      </c>
      <c r="N96">
        <v>0.04</v>
      </c>
      <c r="O96">
        <v>46303.92</v>
      </c>
    </row>
    <row r="97" spans="1:15" x14ac:dyDescent="0.3">
      <c r="A97" s="1" t="s">
        <v>135</v>
      </c>
      <c r="B97" s="1" t="s">
        <v>22</v>
      </c>
      <c r="C97" s="1" t="s">
        <v>33</v>
      </c>
      <c r="D97">
        <v>5</v>
      </c>
      <c r="E97">
        <v>4</v>
      </c>
      <c r="F97">
        <v>1402</v>
      </c>
      <c r="G97">
        <v>626417</v>
      </c>
      <c r="H97">
        <v>586490</v>
      </c>
      <c r="I97" s="2">
        <v>45438</v>
      </c>
      <c r="J97" s="2">
        <v>45448</v>
      </c>
      <c r="K97">
        <v>10</v>
      </c>
      <c r="L97" s="1" t="s">
        <v>42</v>
      </c>
      <c r="M97" s="1" t="s">
        <v>28</v>
      </c>
      <c r="N97">
        <v>0.05</v>
      </c>
      <c r="O97">
        <v>29324.5</v>
      </c>
    </row>
    <row r="98" spans="1:15" x14ac:dyDescent="0.3">
      <c r="A98" s="1" t="s">
        <v>136</v>
      </c>
      <c r="B98" s="1" t="s">
        <v>32</v>
      </c>
      <c r="C98" s="1" t="s">
        <v>35</v>
      </c>
      <c r="D98">
        <v>4</v>
      </c>
      <c r="E98">
        <v>4</v>
      </c>
      <c r="F98">
        <v>1918</v>
      </c>
      <c r="G98">
        <v>876144</v>
      </c>
      <c r="H98">
        <v>823303</v>
      </c>
      <c r="I98" s="2">
        <v>45104</v>
      </c>
      <c r="J98" s="2">
        <v>45187</v>
      </c>
      <c r="K98">
        <v>83</v>
      </c>
      <c r="L98" s="1" t="s">
        <v>19</v>
      </c>
      <c r="M98" s="1" t="s">
        <v>24</v>
      </c>
      <c r="N98">
        <v>0.05</v>
      </c>
      <c r="O98">
        <v>41165.15</v>
      </c>
    </row>
    <row r="99" spans="1:15" x14ac:dyDescent="0.3">
      <c r="A99" s="1" t="s">
        <v>137</v>
      </c>
      <c r="B99" s="1" t="s">
        <v>22</v>
      </c>
      <c r="C99" s="1" t="s">
        <v>23</v>
      </c>
      <c r="D99">
        <v>3</v>
      </c>
      <c r="E99">
        <v>2</v>
      </c>
      <c r="F99">
        <v>2637</v>
      </c>
      <c r="G99">
        <v>1122463</v>
      </c>
      <c r="H99">
        <v>1114292</v>
      </c>
      <c r="I99" s="2">
        <v>45399</v>
      </c>
      <c r="J99" s="2">
        <v>45433</v>
      </c>
      <c r="K99">
        <v>34</v>
      </c>
      <c r="L99" s="1" t="s">
        <v>39</v>
      </c>
      <c r="M99" s="1" t="s">
        <v>28</v>
      </c>
      <c r="N99">
        <v>4.4999999999999998E-2</v>
      </c>
      <c r="O99">
        <v>50143.14</v>
      </c>
    </row>
    <row r="100" spans="1:15" x14ac:dyDescent="0.3">
      <c r="A100" s="1" t="s">
        <v>138</v>
      </c>
      <c r="B100" s="1" t="s">
        <v>26</v>
      </c>
      <c r="C100" s="1" t="s">
        <v>23</v>
      </c>
      <c r="D100">
        <v>1</v>
      </c>
      <c r="E100">
        <v>4</v>
      </c>
      <c r="F100">
        <v>2991</v>
      </c>
      <c r="G100">
        <v>824468</v>
      </c>
      <c r="H100">
        <v>770398</v>
      </c>
      <c r="I100" s="2">
        <v>45369</v>
      </c>
      <c r="J100" s="2">
        <v>45443</v>
      </c>
      <c r="K100">
        <v>74</v>
      </c>
      <c r="L100" s="1" t="s">
        <v>44</v>
      </c>
      <c r="M100" s="1" t="s">
        <v>20</v>
      </c>
      <c r="N100">
        <v>4.4999999999999998E-2</v>
      </c>
      <c r="O100">
        <v>34667.910000000003</v>
      </c>
    </row>
    <row r="101" spans="1:15" x14ac:dyDescent="0.3">
      <c r="A101" s="1" t="s">
        <v>139</v>
      </c>
      <c r="B101" s="1" t="s">
        <v>41</v>
      </c>
      <c r="C101" s="1" t="s">
        <v>33</v>
      </c>
      <c r="D101">
        <v>4</v>
      </c>
      <c r="E101">
        <v>4</v>
      </c>
      <c r="F101">
        <v>1031</v>
      </c>
      <c r="G101">
        <v>972423</v>
      </c>
      <c r="H101">
        <v>959348</v>
      </c>
      <c r="I101" s="2">
        <v>45336</v>
      </c>
      <c r="J101" s="2">
        <v>45366</v>
      </c>
      <c r="K101">
        <v>30</v>
      </c>
      <c r="L101" s="1" t="s">
        <v>39</v>
      </c>
      <c r="M101" s="1" t="s">
        <v>28</v>
      </c>
      <c r="N101">
        <v>0.05</v>
      </c>
      <c r="O101">
        <v>47967.4</v>
      </c>
    </row>
    <row r="102" spans="1:15" x14ac:dyDescent="0.3">
      <c r="A102" s="1" t="s">
        <v>140</v>
      </c>
      <c r="B102" s="1" t="s">
        <v>26</v>
      </c>
      <c r="C102" s="1" t="s">
        <v>18</v>
      </c>
      <c r="D102">
        <v>2</v>
      </c>
      <c r="E102">
        <v>3</v>
      </c>
      <c r="F102">
        <v>2933</v>
      </c>
      <c r="G102">
        <v>855405</v>
      </c>
      <c r="H102">
        <v>830794</v>
      </c>
      <c r="I102" s="2">
        <v>45284</v>
      </c>
      <c r="J102" s="2">
        <v>45346</v>
      </c>
      <c r="K102">
        <v>62</v>
      </c>
      <c r="L102" s="1" t="s">
        <v>42</v>
      </c>
      <c r="M102" s="1" t="s">
        <v>24</v>
      </c>
      <c r="N102">
        <v>0.04</v>
      </c>
      <c r="O102">
        <v>33231.760000000002</v>
      </c>
    </row>
    <row r="103" spans="1:15" x14ac:dyDescent="0.3">
      <c r="A103" s="1" t="s">
        <v>141</v>
      </c>
      <c r="B103" s="1" t="s">
        <v>59</v>
      </c>
      <c r="C103" s="1" t="s">
        <v>38</v>
      </c>
      <c r="D103">
        <v>3</v>
      </c>
      <c r="E103">
        <v>1</v>
      </c>
      <c r="F103">
        <v>878</v>
      </c>
      <c r="G103">
        <v>1084999</v>
      </c>
      <c r="H103">
        <v>1046042</v>
      </c>
      <c r="I103" s="2">
        <v>45308</v>
      </c>
      <c r="J103" s="2">
        <v>45318</v>
      </c>
      <c r="K103">
        <v>10</v>
      </c>
      <c r="L103" s="1" t="s">
        <v>51</v>
      </c>
      <c r="M103" s="1" t="s">
        <v>20</v>
      </c>
      <c r="N103">
        <v>0.05</v>
      </c>
      <c r="O103">
        <v>52302.1</v>
      </c>
    </row>
    <row r="104" spans="1:15" x14ac:dyDescent="0.3">
      <c r="A104" s="1" t="s">
        <v>142</v>
      </c>
      <c r="B104" s="1" t="s">
        <v>26</v>
      </c>
      <c r="C104" s="1" t="s">
        <v>33</v>
      </c>
      <c r="D104">
        <v>2</v>
      </c>
      <c r="E104">
        <v>4</v>
      </c>
      <c r="F104">
        <v>3238</v>
      </c>
      <c r="G104">
        <v>352846</v>
      </c>
      <c r="H104">
        <v>291790</v>
      </c>
      <c r="I104" s="2">
        <v>45309</v>
      </c>
      <c r="J104" s="2">
        <v>45393</v>
      </c>
      <c r="K104">
        <v>84</v>
      </c>
      <c r="L104" s="1" t="s">
        <v>51</v>
      </c>
      <c r="M104" s="1" t="s">
        <v>28</v>
      </c>
      <c r="N104">
        <v>0.04</v>
      </c>
      <c r="O104">
        <v>11671.6</v>
      </c>
    </row>
    <row r="105" spans="1:15" x14ac:dyDescent="0.3">
      <c r="A105" s="1" t="s">
        <v>143</v>
      </c>
      <c r="B105" s="1" t="s">
        <v>48</v>
      </c>
      <c r="C105" s="1" t="s">
        <v>18</v>
      </c>
      <c r="D105">
        <v>1</v>
      </c>
      <c r="E105">
        <v>2</v>
      </c>
      <c r="F105">
        <v>1410</v>
      </c>
      <c r="G105">
        <v>391336</v>
      </c>
      <c r="H105">
        <v>320565</v>
      </c>
      <c r="I105" s="2">
        <v>45231</v>
      </c>
      <c r="J105" s="2">
        <v>45238</v>
      </c>
      <c r="K105">
        <v>7</v>
      </c>
      <c r="L105" s="1" t="s">
        <v>44</v>
      </c>
      <c r="M105" s="1" t="s">
        <v>28</v>
      </c>
      <c r="N105">
        <v>4.4999999999999998E-2</v>
      </c>
      <c r="O105">
        <v>14425.42</v>
      </c>
    </row>
    <row r="106" spans="1:15" x14ac:dyDescent="0.3">
      <c r="A106" s="1" t="s">
        <v>144</v>
      </c>
      <c r="B106" s="1" t="s">
        <v>48</v>
      </c>
      <c r="C106" s="1" t="s">
        <v>23</v>
      </c>
      <c r="D106">
        <v>5</v>
      </c>
      <c r="E106">
        <v>1</v>
      </c>
      <c r="F106">
        <v>3149</v>
      </c>
      <c r="G106">
        <v>566465</v>
      </c>
      <c r="H106">
        <v>533270</v>
      </c>
      <c r="I106" s="2">
        <v>44997</v>
      </c>
      <c r="J106" s="2">
        <v>45010</v>
      </c>
      <c r="K106">
        <v>13</v>
      </c>
      <c r="L106" s="1" t="s">
        <v>44</v>
      </c>
      <c r="M106" s="1" t="s">
        <v>24</v>
      </c>
      <c r="N106">
        <v>0.04</v>
      </c>
      <c r="O106">
        <v>21330.799999999999</v>
      </c>
    </row>
    <row r="107" spans="1:15" x14ac:dyDescent="0.3">
      <c r="A107" s="1" t="s">
        <v>145</v>
      </c>
      <c r="B107" s="1" t="s">
        <v>48</v>
      </c>
      <c r="C107" s="1" t="s">
        <v>18</v>
      </c>
      <c r="D107">
        <v>2</v>
      </c>
      <c r="E107">
        <v>4</v>
      </c>
      <c r="F107">
        <v>1082</v>
      </c>
      <c r="G107">
        <v>1660641</v>
      </c>
      <c r="H107">
        <v>1587602</v>
      </c>
      <c r="I107" s="2">
        <v>44929</v>
      </c>
      <c r="J107" s="2">
        <v>44949</v>
      </c>
      <c r="K107">
        <v>20</v>
      </c>
      <c r="L107" s="1" t="s">
        <v>44</v>
      </c>
      <c r="M107" s="1" t="s">
        <v>28</v>
      </c>
      <c r="N107">
        <v>4.4999999999999998E-2</v>
      </c>
      <c r="O107">
        <v>71442.09</v>
      </c>
    </row>
    <row r="108" spans="1:15" x14ac:dyDescent="0.3">
      <c r="A108" s="1" t="s">
        <v>146</v>
      </c>
      <c r="B108" s="1" t="s">
        <v>22</v>
      </c>
      <c r="C108" s="1" t="s">
        <v>23</v>
      </c>
      <c r="D108">
        <v>4</v>
      </c>
      <c r="E108">
        <v>1</v>
      </c>
      <c r="F108">
        <v>3145</v>
      </c>
      <c r="G108">
        <v>1245922</v>
      </c>
      <c r="H108">
        <v>1166315</v>
      </c>
      <c r="I108" s="2">
        <v>45044</v>
      </c>
      <c r="J108" s="2">
        <v>45052</v>
      </c>
      <c r="K108">
        <v>8</v>
      </c>
      <c r="L108" s="1" t="s">
        <v>42</v>
      </c>
      <c r="M108" s="1" t="s">
        <v>24</v>
      </c>
      <c r="N108">
        <v>0.05</v>
      </c>
      <c r="O108">
        <v>58315.75</v>
      </c>
    </row>
    <row r="109" spans="1:15" x14ac:dyDescent="0.3">
      <c r="A109" s="1" t="s">
        <v>147</v>
      </c>
      <c r="B109" s="1" t="s">
        <v>32</v>
      </c>
      <c r="C109" s="1" t="s">
        <v>23</v>
      </c>
      <c r="D109">
        <v>1</v>
      </c>
      <c r="E109">
        <v>2</v>
      </c>
      <c r="F109">
        <v>2329</v>
      </c>
      <c r="G109">
        <v>753838</v>
      </c>
      <c r="H109">
        <v>724161</v>
      </c>
      <c r="I109" s="2">
        <v>45622</v>
      </c>
      <c r="J109" s="2">
        <v>45703</v>
      </c>
      <c r="K109">
        <v>81</v>
      </c>
      <c r="L109" s="1" t="s">
        <v>27</v>
      </c>
      <c r="M109" s="1" t="s">
        <v>28</v>
      </c>
      <c r="N109">
        <v>0.04</v>
      </c>
      <c r="O109">
        <v>28966.44</v>
      </c>
    </row>
    <row r="110" spans="1:15" x14ac:dyDescent="0.3">
      <c r="A110" s="1" t="s">
        <v>148</v>
      </c>
      <c r="B110" s="1" t="s">
        <v>26</v>
      </c>
      <c r="C110" s="1" t="s">
        <v>38</v>
      </c>
      <c r="D110">
        <v>1</v>
      </c>
      <c r="E110">
        <v>3</v>
      </c>
      <c r="F110">
        <v>1307</v>
      </c>
      <c r="G110">
        <v>532814</v>
      </c>
      <c r="H110">
        <v>468421</v>
      </c>
      <c r="I110" s="2">
        <v>45099</v>
      </c>
      <c r="J110" s="2">
        <v>45123</v>
      </c>
      <c r="K110">
        <v>24</v>
      </c>
      <c r="L110" s="1" t="s">
        <v>19</v>
      </c>
      <c r="M110" s="1" t="s">
        <v>28</v>
      </c>
      <c r="N110">
        <v>0.05</v>
      </c>
      <c r="O110">
        <v>23421.05</v>
      </c>
    </row>
    <row r="111" spans="1:15" x14ac:dyDescent="0.3">
      <c r="A111" s="1" t="s">
        <v>149</v>
      </c>
      <c r="B111" s="1" t="s">
        <v>26</v>
      </c>
      <c r="C111" s="1" t="s">
        <v>38</v>
      </c>
      <c r="D111">
        <v>5</v>
      </c>
      <c r="E111">
        <v>3</v>
      </c>
      <c r="F111">
        <v>2524</v>
      </c>
      <c r="G111">
        <v>644637</v>
      </c>
      <c r="H111">
        <v>608565</v>
      </c>
      <c r="I111" s="2">
        <v>45234</v>
      </c>
      <c r="J111" s="2">
        <v>45297</v>
      </c>
      <c r="K111">
        <v>63</v>
      </c>
      <c r="L111" s="1" t="s">
        <v>44</v>
      </c>
      <c r="M111" s="1" t="s">
        <v>24</v>
      </c>
      <c r="N111">
        <v>0.05</v>
      </c>
      <c r="O111">
        <v>30428.25</v>
      </c>
    </row>
    <row r="112" spans="1:15" x14ac:dyDescent="0.3">
      <c r="A112" s="1" t="s">
        <v>150</v>
      </c>
      <c r="B112" s="1" t="s">
        <v>32</v>
      </c>
      <c r="C112" s="1" t="s">
        <v>18</v>
      </c>
      <c r="D112">
        <v>4</v>
      </c>
      <c r="E112">
        <v>4</v>
      </c>
      <c r="F112">
        <v>1113</v>
      </c>
      <c r="G112">
        <v>1360602</v>
      </c>
      <c r="H112">
        <v>1334000</v>
      </c>
      <c r="I112" s="2">
        <v>45050</v>
      </c>
      <c r="J112" s="2">
        <v>45140</v>
      </c>
      <c r="K112">
        <v>90</v>
      </c>
      <c r="L112" s="1" t="s">
        <v>39</v>
      </c>
      <c r="M112" s="1" t="s">
        <v>28</v>
      </c>
      <c r="N112">
        <v>0.04</v>
      </c>
      <c r="O112">
        <v>53360</v>
      </c>
    </row>
    <row r="113" spans="1:15" x14ac:dyDescent="0.3">
      <c r="A113" s="1" t="s">
        <v>151</v>
      </c>
      <c r="B113" s="1" t="s">
        <v>48</v>
      </c>
      <c r="C113" s="1" t="s">
        <v>38</v>
      </c>
      <c r="D113">
        <v>2</v>
      </c>
      <c r="E113">
        <v>1</v>
      </c>
      <c r="F113">
        <v>3063</v>
      </c>
      <c r="G113">
        <v>1778842</v>
      </c>
      <c r="H113">
        <v>1747783</v>
      </c>
      <c r="I113" s="2">
        <v>45626</v>
      </c>
      <c r="J113" s="2">
        <v>45673</v>
      </c>
      <c r="K113">
        <v>47</v>
      </c>
      <c r="L113" s="1" t="s">
        <v>27</v>
      </c>
      <c r="M113" s="1" t="s">
        <v>28</v>
      </c>
      <c r="N113">
        <v>0.05</v>
      </c>
      <c r="O113">
        <v>87389.15</v>
      </c>
    </row>
    <row r="114" spans="1:15" x14ac:dyDescent="0.3">
      <c r="A114" s="1" t="s">
        <v>152</v>
      </c>
      <c r="B114" s="1" t="s">
        <v>37</v>
      </c>
      <c r="C114" s="1" t="s">
        <v>35</v>
      </c>
      <c r="D114">
        <v>5</v>
      </c>
      <c r="E114">
        <v>2</v>
      </c>
      <c r="F114">
        <v>2105</v>
      </c>
      <c r="G114">
        <v>1499213</v>
      </c>
      <c r="H114">
        <v>1470084</v>
      </c>
      <c r="I114" s="2">
        <v>45033</v>
      </c>
      <c r="J114" s="2">
        <v>45119</v>
      </c>
      <c r="K114">
        <v>86</v>
      </c>
      <c r="L114" s="1" t="s">
        <v>19</v>
      </c>
      <c r="M114" s="1" t="s">
        <v>20</v>
      </c>
      <c r="N114">
        <v>0.05</v>
      </c>
      <c r="O114">
        <v>73504.2</v>
      </c>
    </row>
    <row r="115" spans="1:15" x14ac:dyDescent="0.3">
      <c r="A115" s="1" t="s">
        <v>153</v>
      </c>
      <c r="B115" s="1" t="s">
        <v>22</v>
      </c>
      <c r="C115" s="1" t="s">
        <v>35</v>
      </c>
      <c r="D115">
        <v>2</v>
      </c>
      <c r="E115">
        <v>1</v>
      </c>
      <c r="F115">
        <v>1218</v>
      </c>
      <c r="G115">
        <v>980553</v>
      </c>
      <c r="H115">
        <v>906862</v>
      </c>
      <c r="I115" s="2">
        <v>45519</v>
      </c>
      <c r="J115" s="2">
        <v>45539</v>
      </c>
      <c r="K115">
        <v>20</v>
      </c>
      <c r="L115" s="1" t="s">
        <v>53</v>
      </c>
      <c r="M115" s="1" t="s">
        <v>24</v>
      </c>
      <c r="N115">
        <v>0.04</v>
      </c>
      <c r="O115">
        <v>36274.480000000003</v>
      </c>
    </row>
    <row r="116" spans="1:15" x14ac:dyDescent="0.3">
      <c r="A116" s="1" t="s">
        <v>154</v>
      </c>
      <c r="B116" s="1" t="s">
        <v>59</v>
      </c>
      <c r="C116" s="1" t="s">
        <v>18</v>
      </c>
      <c r="D116">
        <v>3</v>
      </c>
      <c r="E116">
        <v>2</v>
      </c>
      <c r="F116">
        <v>2153</v>
      </c>
      <c r="G116">
        <v>994236</v>
      </c>
      <c r="H116">
        <v>917022</v>
      </c>
      <c r="I116" s="2">
        <v>44975</v>
      </c>
      <c r="J116" s="2">
        <v>45052</v>
      </c>
      <c r="K116">
        <v>77</v>
      </c>
      <c r="L116" s="1" t="s">
        <v>39</v>
      </c>
      <c r="M116" s="1" t="s">
        <v>28</v>
      </c>
      <c r="N116">
        <v>0.05</v>
      </c>
      <c r="O116">
        <v>45851.1</v>
      </c>
    </row>
    <row r="117" spans="1:15" x14ac:dyDescent="0.3">
      <c r="A117" s="1" t="s">
        <v>155</v>
      </c>
      <c r="B117" s="1" t="s">
        <v>32</v>
      </c>
      <c r="C117" s="1" t="s">
        <v>38</v>
      </c>
      <c r="D117">
        <v>5</v>
      </c>
      <c r="E117">
        <v>2</v>
      </c>
      <c r="F117">
        <v>1789</v>
      </c>
      <c r="G117">
        <v>865826</v>
      </c>
      <c r="H117">
        <v>857769</v>
      </c>
      <c r="I117" s="2">
        <v>44997</v>
      </c>
      <c r="J117" s="2">
        <v>45062</v>
      </c>
      <c r="K117">
        <v>65</v>
      </c>
      <c r="L117" s="1" t="s">
        <v>51</v>
      </c>
      <c r="M117" s="1" t="s">
        <v>28</v>
      </c>
      <c r="N117">
        <v>0.05</v>
      </c>
      <c r="O117">
        <v>42888.45</v>
      </c>
    </row>
    <row r="118" spans="1:15" x14ac:dyDescent="0.3">
      <c r="A118" s="1" t="s">
        <v>156</v>
      </c>
      <c r="B118" s="1" t="s">
        <v>17</v>
      </c>
      <c r="C118" s="1" t="s">
        <v>33</v>
      </c>
      <c r="D118">
        <v>5</v>
      </c>
      <c r="E118">
        <v>2</v>
      </c>
      <c r="F118">
        <v>2094</v>
      </c>
      <c r="G118">
        <v>385696</v>
      </c>
      <c r="H118">
        <v>366464</v>
      </c>
      <c r="I118" s="2">
        <v>45109</v>
      </c>
      <c r="J118" s="2">
        <v>45162</v>
      </c>
      <c r="K118">
        <v>53</v>
      </c>
      <c r="L118" s="1" t="s">
        <v>39</v>
      </c>
      <c r="M118" s="1" t="s">
        <v>24</v>
      </c>
      <c r="N118">
        <v>4.4999999999999998E-2</v>
      </c>
      <c r="O118">
        <v>16490.88</v>
      </c>
    </row>
    <row r="119" spans="1:15" x14ac:dyDescent="0.3">
      <c r="A119" s="1" t="s">
        <v>157</v>
      </c>
      <c r="B119" s="1" t="s">
        <v>41</v>
      </c>
      <c r="C119" s="1" t="s">
        <v>35</v>
      </c>
      <c r="D119">
        <v>3</v>
      </c>
      <c r="E119">
        <v>1</v>
      </c>
      <c r="F119">
        <v>2810</v>
      </c>
      <c r="G119">
        <v>1757828</v>
      </c>
      <c r="H119">
        <v>1730086</v>
      </c>
      <c r="I119" s="2">
        <v>45326</v>
      </c>
      <c r="J119" s="2">
        <v>45373</v>
      </c>
      <c r="K119">
        <v>47</v>
      </c>
      <c r="L119" s="1" t="s">
        <v>42</v>
      </c>
      <c r="M119" s="1" t="s">
        <v>28</v>
      </c>
      <c r="N119">
        <v>0.05</v>
      </c>
      <c r="O119">
        <v>86504.3</v>
      </c>
    </row>
    <row r="120" spans="1:15" x14ac:dyDescent="0.3">
      <c r="A120" s="1" t="s">
        <v>158</v>
      </c>
      <c r="B120" s="1" t="s">
        <v>32</v>
      </c>
      <c r="C120" s="1" t="s">
        <v>38</v>
      </c>
      <c r="D120">
        <v>4</v>
      </c>
      <c r="E120">
        <v>2</v>
      </c>
      <c r="F120">
        <v>3327</v>
      </c>
      <c r="G120">
        <v>510263</v>
      </c>
      <c r="H120">
        <v>487859</v>
      </c>
      <c r="I120" s="2">
        <v>45137</v>
      </c>
      <c r="J120" s="2">
        <v>45161</v>
      </c>
      <c r="K120">
        <v>24</v>
      </c>
      <c r="L120" s="1" t="s">
        <v>27</v>
      </c>
      <c r="M120" s="1" t="s">
        <v>28</v>
      </c>
      <c r="N120">
        <v>4.4999999999999998E-2</v>
      </c>
      <c r="O120">
        <v>21953.65</v>
      </c>
    </row>
    <row r="121" spans="1:15" x14ac:dyDescent="0.3">
      <c r="A121" s="1" t="s">
        <v>159</v>
      </c>
      <c r="B121" s="1" t="s">
        <v>22</v>
      </c>
      <c r="C121" s="1" t="s">
        <v>38</v>
      </c>
      <c r="D121">
        <v>5</v>
      </c>
      <c r="E121">
        <v>4</v>
      </c>
      <c r="F121">
        <v>2812</v>
      </c>
      <c r="G121">
        <v>637091</v>
      </c>
      <c r="H121">
        <v>610001</v>
      </c>
      <c r="I121" s="2">
        <v>45579</v>
      </c>
      <c r="J121" s="2">
        <v>45646</v>
      </c>
      <c r="K121">
        <v>67</v>
      </c>
      <c r="L121" s="1" t="s">
        <v>19</v>
      </c>
      <c r="M121" s="1" t="s">
        <v>24</v>
      </c>
      <c r="N121">
        <v>0.04</v>
      </c>
      <c r="O121">
        <v>24400.04</v>
      </c>
    </row>
    <row r="122" spans="1:15" x14ac:dyDescent="0.3">
      <c r="A122" s="1" t="s">
        <v>160</v>
      </c>
      <c r="B122" s="1" t="s">
        <v>17</v>
      </c>
      <c r="C122" s="1" t="s">
        <v>23</v>
      </c>
      <c r="D122">
        <v>4</v>
      </c>
      <c r="E122">
        <v>4</v>
      </c>
      <c r="F122">
        <v>1111</v>
      </c>
      <c r="G122">
        <v>915660</v>
      </c>
      <c r="H122">
        <v>852925</v>
      </c>
      <c r="I122" s="2">
        <v>45511</v>
      </c>
      <c r="J122" s="2">
        <v>45568</v>
      </c>
      <c r="K122">
        <v>57</v>
      </c>
      <c r="L122" s="1" t="s">
        <v>51</v>
      </c>
      <c r="M122" s="1" t="s">
        <v>28</v>
      </c>
      <c r="N122">
        <v>0.04</v>
      </c>
      <c r="O122">
        <v>34117</v>
      </c>
    </row>
    <row r="123" spans="1:15" x14ac:dyDescent="0.3">
      <c r="A123" s="1" t="s">
        <v>161</v>
      </c>
      <c r="B123" s="1" t="s">
        <v>17</v>
      </c>
      <c r="C123" s="1" t="s">
        <v>23</v>
      </c>
      <c r="D123">
        <v>3</v>
      </c>
      <c r="E123">
        <v>3</v>
      </c>
      <c r="F123">
        <v>1935</v>
      </c>
      <c r="G123">
        <v>1745257</v>
      </c>
      <c r="H123">
        <v>1736622</v>
      </c>
      <c r="I123" s="2">
        <v>45466</v>
      </c>
      <c r="J123" s="2">
        <v>45520</v>
      </c>
      <c r="K123">
        <v>54</v>
      </c>
      <c r="L123" s="1" t="s">
        <v>42</v>
      </c>
      <c r="M123" s="1" t="s">
        <v>20</v>
      </c>
      <c r="N123">
        <v>0.04</v>
      </c>
      <c r="O123">
        <v>69464.88</v>
      </c>
    </row>
    <row r="124" spans="1:15" x14ac:dyDescent="0.3">
      <c r="A124" s="1" t="s">
        <v>162</v>
      </c>
      <c r="B124" s="1" t="s">
        <v>59</v>
      </c>
      <c r="C124" s="1" t="s">
        <v>23</v>
      </c>
      <c r="D124">
        <v>5</v>
      </c>
      <c r="E124">
        <v>1</v>
      </c>
      <c r="F124">
        <v>3040</v>
      </c>
      <c r="G124">
        <v>1340297</v>
      </c>
      <c r="H124">
        <v>1293380</v>
      </c>
      <c r="I124" s="2">
        <v>45025</v>
      </c>
      <c r="J124" s="2">
        <v>45035</v>
      </c>
      <c r="K124">
        <v>10</v>
      </c>
      <c r="L124" s="1" t="s">
        <v>27</v>
      </c>
      <c r="M124" s="1" t="s">
        <v>24</v>
      </c>
      <c r="N124">
        <v>0.05</v>
      </c>
      <c r="O124">
        <v>64669</v>
      </c>
    </row>
    <row r="125" spans="1:15" x14ac:dyDescent="0.3">
      <c r="A125" s="1" t="s">
        <v>163</v>
      </c>
      <c r="B125" s="1" t="s">
        <v>41</v>
      </c>
      <c r="C125" s="1" t="s">
        <v>38</v>
      </c>
      <c r="D125">
        <v>4</v>
      </c>
      <c r="E125">
        <v>3</v>
      </c>
      <c r="F125">
        <v>1815</v>
      </c>
      <c r="G125">
        <v>397165</v>
      </c>
      <c r="H125">
        <v>361451</v>
      </c>
      <c r="I125" s="2">
        <v>45268</v>
      </c>
      <c r="J125" s="2">
        <v>45299</v>
      </c>
      <c r="K125">
        <v>31</v>
      </c>
      <c r="L125" s="1" t="s">
        <v>51</v>
      </c>
      <c r="M125" s="1" t="s">
        <v>20</v>
      </c>
      <c r="N125">
        <v>0.05</v>
      </c>
      <c r="O125">
        <v>18072.55</v>
      </c>
    </row>
    <row r="126" spans="1:15" x14ac:dyDescent="0.3">
      <c r="A126" s="1" t="s">
        <v>164</v>
      </c>
      <c r="B126" s="1" t="s">
        <v>26</v>
      </c>
      <c r="C126" s="1" t="s">
        <v>23</v>
      </c>
      <c r="D126">
        <v>5</v>
      </c>
      <c r="E126">
        <v>1</v>
      </c>
      <c r="F126">
        <v>2149</v>
      </c>
      <c r="G126">
        <v>1792597</v>
      </c>
      <c r="H126">
        <v>1769882</v>
      </c>
      <c r="I126" s="2">
        <v>45607</v>
      </c>
      <c r="J126" s="2">
        <v>45648</v>
      </c>
      <c r="K126">
        <v>41</v>
      </c>
      <c r="L126" s="1" t="s">
        <v>51</v>
      </c>
      <c r="M126" s="1" t="s">
        <v>28</v>
      </c>
      <c r="N126">
        <v>0.05</v>
      </c>
      <c r="O126">
        <v>88494.1</v>
      </c>
    </row>
    <row r="127" spans="1:15" x14ac:dyDescent="0.3">
      <c r="A127" s="1" t="s">
        <v>165</v>
      </c>
      <c r="B127" s="1" t="s">
        <v>26</v>
      </c>
      <c r="C127" s="1" t="s">
        <v>38</v>
      </c>
      <c r="D127">
        <v>2</v>
      </c>
      <c r="E127">
        <v>3</v>
      </c>
      <c r="F127">
        <v>1082</v>
      </c>
      <c r="G127">
        <v>1743828</v>
      </c>
      <c r="H127">
        <v>1736428</v>
      </c>
      <c r="I127" s="2">
        <v>45453</v>
      </c>
      <c r="J127" s="2">
        <v>45487</v>
      </c>
      <c r="K127">
        <v>34</v>
      </c>
      <c r="L127" s="1" t="s">
        <v>30</v>
      </c>
      <c r="M127" s="1" t="s">
        <v>24</v>
      </c>
      <c r="N127">
        <v>0.05</v>
      </c>
      <c r="O127">
        <v>86821.4</v>
      </c>
    </row>
    <row r="128" spans="1:15" x14ac:dyDescent="0.3">
      <c r="A128" s="1" t="s">
        <v>166</v>
      </c>
      <c r="B128" s="1" t="s">
        <v>48</v>
      </c>
      <c r="C128" s="1" t="s">
        <v>35</v>
      </c>
      <c r="D128">
        <v>4</v>
      </c>
      <c r="E128">
        <v>4</v>
      </c>
      <c r="F128">
        <v>3102</v>
      </c>
      <c r="G128">
        <v>1743279</v>
      </c>
      <c r="H128">
        <v>1693393</v>
      </c>
      <c r="I128" s="2">
        <v>45546</v>
      </c>
      <c r="J128" s="2">
        <v>45625</v>
      </c>
      <c r="K128">
        <v>79</v>
      </c>
      <c r="L128" s="1" t="s">
        <v>51</v>
      </c>
      <c r="M128" s="1" t="s">
        <v>20</v>
      </c>
      <c r="N128">
        <v>0.04</v>
      </c>
      <c r="O128">
        <v>67735.72</v>
      </c>
    </row>
    <row r="129" spans="1:15" x14ac:dyDescent="0.3">
      <c r="A129" s="1" t="s">
        <v>167</v>
      </c>
      <c r="B129" s="1" t="s">
        <v>48</v>
      </c>
      <c r="C129" s="1" t="s">
        <v>23</v>
      </c>
      <c r="D129">
        <v>4</v>
      </c>
      <c r="E129">
        <v>2</v>
      </c>
      <c r="F129">
        <v>2018</v>
      </c>
      <c r="G129">
        <v>923925</v>
      </c>
      <c r="H129">
        <v>880524</v>
      </c>
      <c r="I129" s="2">
        <v>45299</v>
      </c>
      <c r="J129" s="2">
        <v>45334</v>
      </c>
      <c r="K129">
        <v>35</v>
      </c>
      <c r="L129" s="1" t="s">
        <v>51</v>
      </c>
      <c r="M129" s="1" t="s">
        <v>28</v>
      </c>
      <c r="N129">
        <v>4.4999999999999998E-2</v>
      </c>
      <c r="O129">
        <v>39623.58</v>
      </c>
    </row>
    <row r="130" spans="1:15" x14ac:dyDescent="0.3">
      <c r="A130" s="1" t="s">
        <v>168</v>
      </c>
      <c r="B130" s="1" t="s">
        <v>37</v>
      </c>
      <c r="C130" s="1" t="s">
        <v>23</v>
      </c>
      <c r="D130">
        <v>2</v>
      </c>
      <c r="E130">
        <v>2</v>
      </c>
      <c r="F130">
        <v>926</v>
      </c>
      <c r="G130">
        <v>771771</v>
      </c>
      <c r="H130">
        <v>701714</v>
      </c>
      <c r="I130" s="2">
        <v>45084</v>
      </c>
      <c r="J130" s="2">
        <v>45128</v>
      </c>
      <c r="K130">
        <v>44</v>
      </c>
      <c r="L130" s="1" t="s">
        <v>53</v>
      </c>
      <c r="M130" s="1" t="s">
        <v>20</v>
      </c>
      <c r="N130">
        <v>0.05</v>
      </c>
      <c r="O130">
        <v>35085.699999999997</v>
      </c>
    </row>
    <row r="131" spans="1:15" x14ac:dyDescent="0.3">
      <c r="A131" s="1" t="s">
        <v>169</v>
      </c>
      <c r="B131" s="1" t="s">
        <v>22</v>
      </c>
      <c r="C131" s="1" t="s">
        <v>33</v>
      </c>
      <c r="D131">
        <v>2</v>
      </c>
      <c r="E131">
        <v>1</v>
      </c>
      <c r="F131">
        <v>3088</v>
      </c>
      <c r="G131">
        <v>1777036</v>
      </c>
      <c r="H131">
        <v>1758370</v>
      </c>
      <c r="I131" s="2">
        <v>45288</v>
      </c>
      <c r="J131" s="2">
        <v>45375</v>
      </c>
      <c r="K131">
        <v>87</v>
      </c>
      <c r="L131" s="1" t="s">
        <v>51</v>
      </c>
      <c r="M131" s="1" t="s">
        <v>24</v>
      </c>
      <c r="N131">
        <v>0.04</v>
      </c>
      <c r="O131">
        <v>70334.8</v>
      </c>
    </row>
    <row r="132" spans="1:15" x14ac:dyDescent="0.3">
      <c r="A132" s="1" t="s">
        <v>170</v>
      </c>
      <c r="B132" s="1" t="s">
        <v>32</v>
      </c>
      <c r="C132" s="1" t="s">
        <v>33</v>
      </c>
      <c r="D132">
        <v>1</v>
      </c>
      <c r="E132">
        <v>1</v>
      </c>
      <c r="F132">
        <v>694</v>
      </c>
      <c r="G132">
        <v>1088771</v>
      </c>
      <c r="H132">
        <v>1073784</v>
      </c>
      <c r="I132" s="2">
        <v>45240</v>
      </c>
      <c r="J132" s="2">
        <v>45282</v>
      </c>
      <c r="K132">
        <v>42</v>
      </c>
      <c r="L132" s="1" t="s">
        <v>51</v>
      </c>
      <c r="M132" s="1" t="s">
        <v>28</v>
      </c>
      <c r="N132">
        <v>0.04</v>
      </c>
      <c r="O132">
        <v>42951.360000000001</v>
      </c>
    </row>
    <row r="133" spans="1:15" x14ac:dyDescent="0.3">
      <c r="A133" s="1" t="s">
        <v>171</v>
      </c>
      <c r="B133" s="1" t="s">
        <v>59</v>
      </c>
      <c r="C133" s="1" t="s">
        <v>33</v>
      </c>
      <c r="D133">
        <v>1</v>
      </c>
      <c r="E133">
        <v>2</v>
      </c>
      <c r="F133">
        <v>1760</v>
      </c>
      <c r="G133">
        <v>422943</v>
      </c>
      <c r="H133">
        <v>419774</v>
      </c>
      <c r="I133" s="2">
        <v>45112</v>
      </c>
      <c r="J133" s="2">
        <v>45168</v>
      </c>
      <c r="K133">
        <v>56</v>
      </c>
      <c r="L133" s="1" t="s">
        <v>39</v>
      </c>
      <c r="M133" s="1" t="s">
        <v>20</v>
      </c>
      <c r="N133">
        <v>0.04</v>
      </c>
      <c r="O133">
        <v>16790.96</v>
      </c>
    </row>
    <row r="134" spans="1:15" x14ac:dyDescent="0.3">
      <c r="A134" s="1" t="s">
        <v>172</v>
      </c>
      <c r="B134" s="1" t="s">
        <v>22</v>
      </c>
      <c r="C134" s="1" t="s">
        <v>33</v>
      </c>
      <c r="D134">
        <v>2</v>
      </c>
      <c r="E134">
        <v>2</v>
      </c>
      <c r="F134">
        <v>2226</v>
      </c>
      <c r="G134">
        <v>516867</v>
      </c>
      <c r="H134">
        <v>487175</v>
      </c>
      <c r="I134" s="2">
        <v>44948</v>
      </c>
      <c r="J134" s="2">
        <v>45027</v>
      </c>
      <c r="K134">
        <v>79</v>
      </c>
      <c r="L134" s="1" t="s">
        <v>39</v>
      </c>
      <c r="M134" s="1" t="s">
        <v>20</v>
      </c>
      <c r="N134">
        <v>0.04</v>
      </c>
      <c r="O134">
        <v>19487</v>
      </c>
    </row>
    <row r="135" spans="1:15" x14ac:dyDescent="0.3">
      <c r="A135" s="1" t="s">
        <v>173</v>
      </c>
      <c r="B135" s="1" t="s">
        <v>22</v>
      </c>
      <c r="C135" s="1" t="s">
        <v>38</v>
      </c>
      <c r="D135">
        <v>4</v>
      </c>
      <c r="E135">
        <v>2</v>
      </c>
      <c r="F135">
        <v>1681</v>
      </c>
      <c r="G135">
        <v>694457</v>
      </c>
      <c r="H135">
        <v>666660</v>
      </c>
      <c r="I135" s="2">
        <v>45352</v>
      </c>
      <c r="J135" s="2">
        <v>45403</v>
      </c>
      <c r="K135">
        <v>51</v>
      </c>
      <c r="L135" s="1" t="s">
        <v>44</v>
      </c>
      <c r="M135" s="1" t="s">
        <v>24</v>
      </c>
      <c r="N135">
        <v>4.4999999999999998E-2</v>
      </c>
      <c r="O135">
        <v>29999.7</v>
      </c>
    </row>
    <row r="136" spans="1:15" x14ac:dyDescent="0.3">
      <c r="A136" s="1" t="s">
        <v>174</v>
      </c>
      <c r="B136" s="1" t="s">
        <v>26</v>
      </c>
      <c r="C136" s="1" t="s">
        <v>23</v>
      </c>
      <c r="D136">
        <v>5</v>
      </c>
      <c r="E136">
        <v>1</v>
      </c>
      <c r="F136">
        <v>1528</v>
      </c>
      <c r="G136">
        <v>1748735</v>
      </c>
      <c r="H136">
        <v>1706951</v>
      </c>
      <c r="I136" s="2">
        <v>45575</v>
      </c>
      <c r="J136" s="2">
        <v>45660</v>
      </c>
      <c r="K136">
        <v>85</v>
      </c>
      <c r="L136" s="1" t="s">
        <v>27</v>
      </c>
      <c r="M136" s="1" t="s">
        <v>28</v>
      </c>
      <c r="N136">
        <v>4.4999999999999998E-2</v>
      </c>
      <c r="O136">
        <v>76812.789999999994</v>
      </c>
    </row>
    <row r="137" spans="1:15" x14ac:dyDescent="0.3">
      <c r="A137" s="1" t="s">
        <v>175</v>
      </c>
      <c r="B137" s="1" t="s">
        <v>32</v>
      </c>
      <c r="C137" s="1" t="s">
        <v>23</v>
      </c>
      <c r="D137">
        <v>5</v>
      </c>
      <c r="E137">
        <v>4</v>
      </c>
      <c r="F137">
        <v>818</v>
      </c>
      <c r="G137">
        <v>997279</v>
      </c>
      <c r="H137">
        <v>962053</v>
      </c>
      <c r="I137" s="2">
        <v>44968</v>
      </c>
      <c r="J137" s="2">
        <v>45021</v>
      </c>
      <c r="K137">
        <v>53</v>
      </c>
      <c r="L137" s="1" t="s">
        <v>42</v>
      </c>
      <c r="M137" s="1" t="s">
        <v>24</v>
      </c>
      <c r="N137">
        <v>4.4999999999999998E-2</v>
      </c>
      <c r="O137">
        <v>43292.38</v>
      </c>
    </row>
    <row r="138" spans="1:15" x14ac:dyDescent="0.3">
      <c r="A138" s="1" t="s">
        <v>176</v>
      </c>
      <c r="B138" s="1" t="s">
        <v>22</v>
      </c>
      <c r="C138" s="1" t="s">
        <v>33</v>
      </c>
      <c r="D138">
        <v>3</v>
      </c>
      <c r="E138">
        <v>1</v>
      </c>
      <c r="F138">
        <v>2721</v>
      </c>
      <c r="G138">
        <v>1798428</v>
      </c>
      <c r="H138">
        <v>1774284</v>
      </c>
      <c r="I138" s="2">
        <v>45040</v>
      </c>
      <c r="J138" s="2">
        <v>45066</v>
      </c>
      <c r="K138">
        <v>26</v>
      </c>
      <c r="L138" s="1" t="s">
        <v>19</v>
      </c>
      <c r="M138" s="1" t="s">
        <v>24</v>
      </c>
      <c r="N138">
        <v>0.04</v>
      </c>
      <c r="O138">
        <v>70971.360000000001</v>
      </c>
    </row>
    <row r="139" spans="1:15" x14ac:dyDescent="0.3">
      <c r="A139" s="1" t="s">
        <v>177</v>
      </c>
      <c r="B139" s="1" t="s">
        <v>32</v>
      </c>
      <c r="C139" s="1" t="s">
        <v>18</v>
      </c>
      <c r="D139">
        <v>3</v>
      </c>
      <c r="E139">
        <v>2</v>
      </c>
      <c r="F139">
        <v>3171</v>
      </c>
      <c r="G139">
        <v>1197673</v>
      </c>
      <c r="H139">
        <v>1160932</v>
      </c>
      <c r="I139" s="2">
        <v>45109</v>
      </c>
      <c r="J139" s="2">
        <v>45174</v>
      </c>
      <c r="K139">
        <v>65</v>
      </c>
      <c r="L139" s="1" t="s">
        <v>19</v>
      </c>
      <c r="M139" s="1" t="s">
        <v>20</v>
      </c>
      <c r="N139">
        <v>4.4999999999999998E-2</v>
      </c>
      <c r="O139">
        <v>52241.94</v>
      </c>
    </row>
    <row r="140" spans="1:15" x14ac:dyDescent="0.3">
      <c r="A140" s="1" t="s">
        <v>178</v>
      </c>
      <c r="B140" s="1" t="s">
        <v>59</v>
      </c>
      <c r="C140" s="1" t="s">
        <v>23</v>
      </c>
      <c r="D140">
        <v>4</v>
      </c>
      <c r="E140">
        <v>4</v>
      </c>
      <c r="F140">
        <v>829</v>
      </c>
      <c r="G140">
        <v>499742</v>
      </c>
      <c r="H140">
        <v>435990</v>
      </c>
      <c r="I140" s="2">
        <v>45615</v>
      </c>
      <c r="J140" s="2">
        <v>45704</v>
      </c>
      <c r="K140">
        <v>89</v>
      </c>
      <c r="L140" s="1" t="s">
        <v>51</v>
      </c>
      <c r="M140" s="1" t="s">
        <v>20</v>
      </c>
      <c r="N140">
        <v>0.05</v>
      </c>
      <c r="O140">
        <v>21799.5</v>
      </c>
    </row>
    <row r="141" spans="1:15" x14ac:dyDescent="0.3">
      <c r="A141" s="1" t="s">
        <v>179</v>
      </c>
      <c r="B141" s="1" t="s">
        <v>48</v>
      </c>
      <c r="C141" s="1" t="s">
        <v>38</v>
      </c>
      <c r="D141">
        <v>1</v>
      </c>
      <c r="E141">
        <v>1</v>
      </c>
      <c r="F141">
        <v>605</v>
      </c>
      <c r="G141">
        <v>1025082</v>
      </c>
      <c r="H141">
        <v>984334</v>
      </c>
      <c r="I141" s="2">
        <v>45381</v>
      </c>
      <c r="J141" s="2">
        <v>45458</v>
      </c>
      <c r="K141">
        <v>77</v>
      </c>
      <c r="L141" s="1" t="s">
        <v>19</v>
      </c>
      <c r="M141" s="1" t="s">
        <v>28</v>
      </c>
      <c r="N141">
        <v>0.05</v>
      </c>
      <c r="O141">
        <v>49216.7</v>
      </c>
    </row>
    <row r="142" spans="1:15" x14ac:dyDescent="0.3">
      <c r="A142" s="1" t="s">
        <v>180</v>
      </c>
      <c r="B142" s="1" t="s">
        <v>59</v>
      </c>
      <c r="C142" s="1" t="s">
        <v>23</v>
      </c>
      <c r="D142">
        <v>3</v>
      </c>
      <c r="E142">
        <v>2</v>
      </c>
      <c r="F142">
        <v>3264</v>
      </c>
      <c r="G142">
        <v>1551328</v>
      </c>
      <c r="H142">
        <v>1474036</v>
      </c>
      <c r="I142" s="2">
        <v>45346</v>
      </c>
      <c r="J142" s="2">
        <v>45400</v>
      </c>
      <c r="K142">
        <v>54</v>
      </c>
      <c r="L142" s="1" t="s">
        <v>53</v>
      </c>
      <c r="M142" s="1" t="s">
        <v>20</v>
      </c>
      <c r="N142">
        <v>4.4999999999999998E-2</v>
      </c>
      <c r="O142">
        <v>66331.62</v>
      </c>
    </row>
    <row r="143" spans="1:15" x14ac:dyDescent="0.3">
      <c r="A143" s="1" t="s">
        <v>181</v>
      </c>
      <c r="B143" s="1" t="s">
        <v>17</v>
      </c>
      <c r="C143" s="1" t="s">
        <v>18</v>
      </c>
      <c r="D143">
        <v>2</v>
      </c>
      <c r="E143">
        <v>4</v>
      </c>
      <c r="F143">
        <v>756</v>
      </c>
      <c r="G143">
        <v>638449</v>
      </c>
      <c r="H143">
        <v>609101</v>
      </c>
      <c r="I143" s="2">
        <v>45168</v>
      </c>
      <c r="J143" s="2">
        <v>45219</v>
      </c>
      <c r="K143">
        <v>51</v>
      </c>
      <c r="L143" s="1" t="s">
        <v>51</v>
      </c>
      <c r="M143" s="1" t="s">
        <v>24</v>
      </c>
      <c r="N143">
        <v>0.04</v>
      </c>
      <c r="O143">
        <v>24364.04</v>
      </c>
    </row>
    <row r="144" spans="1:15" x14ac:dyDescent="0.3">
      <c r="A144" s="1" t="s">
        <v>182</v>
      </c>
      <c r="B144" s="1" t="s">
        <v>41</v>
      </c>
      <c r="C144" s="1" t="s">
        <v>38</v>
      </c>
      <c r="D144">
        <v>4</v>
      </c>
      <c r="E144">
        <v>3</v>
      </c>
      <c r="F144">
        <v>1763</v>
      </c>
      <c r="G144">
        <v>446264</v>
      </c>
      <c r="H144">
        <v>437102</v>
      </c>
      <c r="I144" s="2">
        <v>45585</v>
      </c>
      <c r="J144" s="2">
        <v>45644</v>
      </c>
      <c r="K144">
        <v>59</v>
      </c>
      <c r="L144" s="1" t="s">
        <v>19</v>
      </c>
      <c r="M144" s="1" t="s">
        <v>24</v>
      </c>
      <c r="N144">
        <v>0.05</v>
      </c>
      <c r="O144">
        <v>21855.1</v>
      </c>
    </row>
    <row r="145" spans="1:15" x14ac:dyDescent="0.3">
      <c r="A145" s="1" t="s">
        <v>183</v>
      </c>
      <c r="B145" s="1" t="s">
        <v>17</v>
      </c>
      <c r="C145" s="1" t="s">
        <v>38</v>
      </c>
      <c r="D145">
        <v>5</v>
      </c>
      <c r="E145">
        <v>3</v>
      </c>
      <c r="F145">
        <v>1241</v>
      </c>
      <c r="G145">
        <v>901754</v>
      </c>
      <c r="H145">
        <v>853509</v>
      </c>
      <c r="I145" s="2">
        <v>45057</v>
      </c>
      <c r="J145" s="2">
        <v>45066</v>
      </c>
      <c r="K145">
        <v>9</v>
      </c>
      <c r="L145" s="1" t="s">
        <v>27</v>
      </c>
      <c r="M145" s="1" t="s">
        <v>20</v>
      </c>
      <c r="N145">
        <v>4.4999999999999998E-2</v>
      </c>
      <c r="O145">
        <v>38407.9</v>
      </c>
    </row>
    <row r="146" spans="1:15" x14ac:dyDescent="0.3">
      <c r="A146" s="1" t="s">
        <v>184</v>
      </c>
      <c r="B146" s="1" t="s">
        <v>48</v>
      </c>
      <c r="C146" s="1" t="s">
        <v>38</v>
      </c>
      <c r="D146">
        <v>1</v>
      </c>
      <c r="E146">
        <v>4</v>
      </c>
      <c r="F146">
        <v>1573</v>
      </c>
      <c r="G146">
        <v>1737361</v>
      </c>
      <c r="H146">
        <v>1676493</v>
      </c>
      <c r="I146" s="2">
        <v>45566</v>
      </c>
      <c r="J146" s="2">
        <v>45599</v>
      </c>
      <c r="K146">
        <v>33</v>
      </c>
      <c r="L146" s="1" t="s">
        <v>19</v>
      </c>
      <c r="M146" s="1" t="s">
        <v>24</v>
      </c>
      <c r="N146">
        <v>0.04</v>
      </c>
      <c r="O146">
        <v>67059.72</v>
      </c>
    </row>
    <row r="147" spans="1:15" x14ac:dyDescent="0.3">
      <c r="A147" s="1" t="s">
        <v>185</v>
      </c>
      <c r="B147" s="1" t="s">
        <v>48</v>
      </c>
      <c r="C147" s="1" t="s">
        <v>38</v>
      </c>
      <c r="D147">
        <v>2</v>
      </c>
      <c r="E147">
        <v>4</v>
      </c>
      <c r="F147">
        <v>2559</v>
      </c>
      <c r="G147">
        <v>576260</v>
      </c>
      <c r="H147">
        <v>523190</v>
      </c>
      <c r="I147" s="2">
        <v>44977</v>
      </c>
      <c r="J147" s="2">
        <v>45021</v>
      </c>
      <c r="K147">
        <v>44</v>
      </c>
      <c r="L147" s="1" t="s">
        <v>27</v>
      </c>
      <c r="M147" s="1" t="s">
        <v>20</v>
      </c>
      <c r="N147">
        <v>0.05</v>
      </c>
      <c r="O147">
        <v>26159.5</v>
      </c>
    </row>
    <row r="148" spans="1:15" x14ac:dyDescent="0.3">
      <c r="A148" s="1" t="s">
        <v>186</v>
      </c>
      <c r="B148" s="1" t="s">
        <v>41</v>
      </c>
      <c r="C148" s="1" t="s">
        <v>38</v>
      </c>
      <c r="D148">
        <v>3</v>
      </c>
      <c r="E148">
        <v>4</v>
      </c>
      <c r="F148">
        <v>1092</v>
      </c>
      <c r="G148">
        <v>1278800</v>
      </c>
      <c r="H148">
        <v>1250840</v>
      </c>
      <c r="I148" s="2">
        <v>45207</v>
      </c>
      <c r="J148" s="2">
        <v>45290</v>
      </c>
      <c r="K148">
        <v>83</v>
      </c>
      <c r="L148" s="1" t="s">
        <v>30</v>
      </c>
      <c r="M148" s="1" t="s">
        <v>20</v>
      </c>
      <c r="N148">
        <v>0.04</v>
      </c>
      <c r="O148">
        <v>50033.599999999999</v>
      </c>
    </row>
    <row r="149" spans="1:15" x14ac:dyDescent="0.3">
      <c r="A149" s="1" t="s">
        <v>187</v>
      </c>
      <c r="B149" s="1" t="s">
        <v>22</v>
      </c>
      <c r="C149" s="1" t="s">
        <v>35</v>
      </c>
      <c r="D149">
        <v>1</v>
      </c>
      <c r="E149">
        <v>3</v>
      </c>
      <c r="F149">
        <v>2730</v>
      </c>
      <c r="G149">
        <v>644644</v>
      </c>
      <c r="H149">
        <v>570611</v>
      </c>
      <c r="I149" s="2">
        <v>44995</v>
      </c>
      <c r="J149" s="2">
        <v>45028</v>
      </c>
      <c r="K149">
        <v>33</v>
      </c>
      <c r="L149" s="1" t="s">
        <v>42</v>
      </c>
      <c r="M149" s="1" t="s">
        <v>24</v>
      </c>
      <c r="N149">
        <v>0.05</v>
      </c>
      <c r="O149">
        <v>28530.55</v>
      </c>
    </row>
    <row r="150" spans="1:15" x14ac:dyDescent="0.3">
      <c r="A150" s="1" t="s">
        <v>188</v>
      </c>
      <c r="B150" s="1" t="s">
        <v>37</v>
      </c>
      <c r="C150" s="1" t="s">
        <v>35</v>
      </c>
      <c r="D150">
        <v>2</v>
      </c>
      <c r="E150">
        <v>4</v>
      </c>
      <c r="F150">
        <v>663</v>
      </c>
      <c r="G150">
        <v>1492832</v>
      </c>
      <c r="H150">
        <v>1471768</v>
      </c>
      <c r="I150" s="2">
        <v>45110</v>
      </c>
      <c r="J150" s="2">
        <v>45170</v>
      </c>
      <c r="K150">
        <v>60</v>
      </c>
      <c r="L150" s="1" t="s">
        <v>42</v>
      </c>
      <c r="M150" s="1" t="s">
        <v>20</v>
      </c>
      <c r="N150">
        <v>0.05</v>
      </c>
      <c r="O150">
        <v>73588.399999999994</v>
      </c>
    </row>
    <row r="151" spans="1:15" x14ac:dyDescent="0.3">
      <c r="A151" s="1" t="s">
        <v>189</v>
      </c>
      <c r="B151" s="1" t="s">
        <v>37</v>
      </c>
      <c r="C151" s="1" t="s">
        <v>18</v>
      </c>
      <c r="D151">
        <v>4</v>
      </c>
      <c r="E151">
        <v>1</v>
      </c>
      <c r="F151">
        <v>1203</v>
      </c>
      <c r="G151">
        <v>387538</v>
      </c>
      <c r="H151">
        <v>340329</v>
      </c>
      <c r="I151" s="2">
        <v>45249</v>
      </c>
      <c r="J151" s="2">
        <v>45279</v>
      </c>
      <c r="K151">
        <v>30</v>
      </c>
      <c r="L151" s="1" t="s">
        <v>19</v>
      </c>
      <c r="M151" s="1" t="s">
        <v>24</v>
      </c>
      <c r="N151">
        <v>0.04</v>
      </c>
      <c r="O151">
        <v>13613.16</v>
      </c>
    </row>
    <row r="152" spans="1:15" x14ac:dyDescent="0.3">
      <c r="A152" s="1" t="s">
        <v>190</v>
      </c>
      <c r="B152" s="1" t="s">
        <v>17</v>
      </c>
      <c r="C152" s="1" t="s">
        <v>38</v>
      </c>
      <c r="D152">
        <v>5</v>
      </c>
      <c r="E152">
        <v>1</v>
      </c>
      <c r="F152">
        <v>2933</v>
      </c>
      <c r="G152">
        <v>1107202</v>
      </c>
      <c r="H152">
        <v>1053756</v>
      </c>
      <c r="I152" s="2">
        <v>45410</v>
      </c>
      <c r="J152" s="2">
        <v>45471</v>
      </c>
      <c r="K152">
        <v>61</v>
      </c>
      <c r="L152" s="1" t="s">
        <v>27</v>
      </c>
      <c r="M152" s="1" t="s">
        <v>20</v>
      </c>
      <c r="N152">
        <v>4.4999999999999998E-2</v>
      </c>
      <c r="O152">
        <v>47419.02</v>
      </c>
    </row>
    <row r="153" spans="1:15" x14ac:dyDescent="0.3">
      <c r="A153" s="1" t="s">
        <v>191</v>
      </c>
      <c r="B153" s="1" t="s">
        <v>37</v>
      </c>
      <c r="C153" s="1" t="s">
        <v>35</v>
      </c>
      <c r="D153">
        <v>1</v>
      </c>
      <c r="E153">
        <v>3</v>
      </c>
      <c r="F153">
        <v>1915</v>
      </c>
      <c r="G153">
        <v>609308</v>
      </c>
      <c r="H153">
        <v>568151</v>
      </c>
      <c r="I153" s="2">
        <v>45387</v>
      </c>
      <c r="J153" s="2">
        <v>45399</v>
      </c>
      <c r="K153">
        <v>12</v>
      </c>
      <c r="L153" s="1" t="s">
        <v>44</v>
      </c>
      <c r="M153" s="1" t="s">
        <v>24</v>
      </c>
      <c r="N153">
        <v>0.05</v>
      </c>
      <c r="O153">
        <v>28407.55</v>
      </c>
    </row>
    <row r="154" spans="1:15" x14ac:dyDescent="0.3">
      <c r="A154" s="1" t="s">
        <v>192</v>
      </c>
      <c r="B154" s="1" t="s">
        <v>32</v>
      </c>
      <c r="C154" s="1" t="s">
        <v>33</v>
      </c>
      <c r="D154">
        <v>5</v>
      </c>
      <c r="E154">
        <v>3</v>
      </c>
      <c r="F154">
        <v>3471</v>
      </c>
      <c r="G154">
        <v>1480284</v>
      </c>
      <c r="H154">
        <v>1408540</v>
      </c>
      <c r="I154" s="2">
        <v>45082</v>
      </c>
      <c r="J154" s="2">
        <v>45162</v>
      </c>
      <c r="K154">
        <v>80</v>
      </c>
      <c r="L154" s="1" t="s">
        <v>27</v>
      </c>
      <c r="M154" s="1" t="s">
        <v>28</v>
      </c>
      <c r="N154">
        <v>0.04</v>
      </c>
      <c r="O154">
        <v>56341.599999999999</v>
      </c>
    </row>
    <row r="155" spans="1:15" x14ac:dyDescent="0.3">
      <c r="A155" s="1" t="s">
        <v>193</v>
      </c>
      <c r="B155" s="1" t="s">
        <v>26</v>
      </c>
      <c r="C155" s="1" t="s">
        <v>18</v>
      </c>
      <c r="D155">
        <v>2</v>
      </c>
      <c r="E155">
        <v>2</v>
      </c>
      <c r="F155">
        <v>3468</v>
      </c>
      <c r="G155">
        <v>834647</v>
      </c>
      <c r="H155">
        <v>771914</v>
      </c>
      <c r="I155" s="2">
        <v>45295</v>
      </c>
      <c r="J155" s="2">
        <v>45362</v>
      </c>
      <c r="K155">
        <v>67</v>
      </c>
      <c r="L155" s="1" t="s">
        <v>27</v>
      </c>
      <c r="M155" s="1" t="s">
        <v>20</v>
      </c>
      <c r="N155">
        <v>4.4999999999999998E-2</v>
      </c>
      <c r="O155">
        <v>34736.129999999997</v>
      </c>
    </row>
    <row r="156" spans="1:15" x14ac:dyDescent="0.3">
      <c r="A156" s="1" t="s">
        <v>194</v>
      </c>
      <c r="B156" s="1" t="s">
        <v>37</v>
      </c>
      <c r="C156" s="1" t="s">
        <v>33</v>
      </c>
      <c r="D156">
        <v>4</v>
      </c>
      <c r="E156">
        <v>4</v>
      </c>
      <c r="F156">
        <v>3471</v>
      </c>
      <c r="G156">
        <v>1425423</v>
      </c>
      <c r="H156">
        <v>1394904</v>
      </c>
      <c r="I156" s="2">
        <v>45483</v>
      </c>
      <c r="J156" s="2">
        <v>45511</v>
      </c>
      <c r="K156">
        <v>28</v>
      </c>
      <c r="L156" s="1" t="s">
        <v>30</v>
      </c>
      <c r="M156" s="1" t="s">
        <v>20</v>
      </c>
      <c r="N156">
        <v>4.4999999999999998E-2</v>
      </c>
      <c r="O156">
        <v>62770.68</v>
      </c>
    </row>
    <row r="157" spans="1:15" x14ac:dyDescent="0.3">
      <c r="A157" s="1" t="s">
        <v>195</v>
      </c>
      <c r="B157" s="1" t="s">
        <v>26</v>
      </c>
      <c r="C157" s="1" t="s">
        <v>38</v>
      </c>
      <c r="D157">
        <v>1</v>
      </c>
      <c r="E157">
        <v>1</v>
      </c>
      <c r="F157">
        <v>1135</v>
      </c>
      <c r="G157">
        <v>974927</v>
      </c>
      <c r="H157">
        <v>932588</v>
      </c>
      <c r="I157" s="2">
        <v>45251</v>
      </c>
      <c r="J157" s="2">
        <v>45335</v>
      </c>
      <c r="K157">
        <v>84</v>
      </c>
      <c r="L157" s="1" t="s">
        <v>42</v>
      </c>
      <c r="M157" s="1" t="s">
        <v>28</v>
      </c>
      <c r="N157">
        <v>0.05</v>
      </c>
      <c r="O157">
        <v>46629.4</v>
      </c>
    </row>
    <row r="158" spans="1:15" x14ac:dyDescent="0.3">
      <c r="A158" s="1" t="s">
        <v>196</v>
      </c>
      <c r="B158" s="1" t="s">
        <v>37</v>
      </c>
      <c r="C158" s="1" t="s">
        <v>18</v>
      </c>
      <c r="D158">
        <v>2</v>
      </c>
      <c r="E158">
        <v>4</v>
      </c>
      <c r="F158">
        <v>948</v>
      </c>
      <c r="G158">
        <v>985287</v>
      </c>
      <c r="H158">
        <v>912411</v>
      </c>
      <c r="I158" s="2">
        <v>45571</v>
      </c>
      <c r="J158" s="2">
        <v>45628</v>
      </c>
      <c r="K158">
        <v>57</v>
      </c>
      <c r="L158" s="1" t="s">
        <v>44</v>
      </c>
      <c r="M158" s="1" t="s">
        <v>20</v>
      </c>
      <c r="N158">
        <v>0.05</v>
      </c>
      <c r="O158">
        <v>45620.55</v>
      </c>
    </row>
    <row r="159" spans="1:15" x14ac:dyDescent="0.3">
      <c r="A159" s="1" t="s">
        <v>197</v>
      </c>
      <c r="B159" s="1" t="s">
        <v>59</v>
      </c>
      <c r="C159" s="1" t="s">
        <v>35</v>
      </c>
      <c r="D159">
        <v>3</v>
      </c>
      <c r="E159">
        <v>2</v>
      </c>
      <c r="F159">
        <v>1194</v>
      </c>
      <c r="G159">
        <v>498469</v>
      </c>
      <c r="H159">
        <v>463849</v>
      </c>
      <c r="I159" s="2">
        <v>45143</v>
      </c>
      <c r="J159" s="2">
        <v>45225</v>
      </c>
      <c r="K159">
        <v>82</v>
      </c>
      <c r="L159" s="1" t="s">
        <v>51</v>
      </c>
      <c r="M159" s="1" t="s">
        <v>20</v>
      </c>
      <c r="N159">
        <v>0.04</v>
      </c>
      <c r="O159">
        <v>18553.96</v>
      </c>
    </row>
    <row r="160" spans="1:15" x14ac:dyDescent="0.3">
      <c r="A160" s="1" t="s">
        <v>198</v>
      </c>
      <c r="B160" s="1" t="s">
        <v>32</v>
      </c>
      <c r="C160" s="1" t="s">
        <v>23</v>
      </c>
      <c r="D160">
        <v>5</v>
      </c>
      <c r="E160">
        <v>4</v>
      </c>
      <c r="F160">
        <v>1573</v>
      </c>
      <c r="G160">
        <v>811759</v>
      </c>
      <c r="H160">
        <v>733007</v>
      </c>
      <c r="I160" s="2">
        <v>45442</v>
      </c>
      <c r="J160" s="2">
        <v>45524</v>
      </c>
      <c r="K160">
        <v>82</v>
      </c>
      <c r="L160" s="1" t="s">
        <v>42</v>
      </c>
      <c r="M160" s="1" t="s">
        <v>24</v>
      </c>
      <c r="N160">
        <v>0.04</v>
      </c>
      <c r="O160">
        <v>29320.28</v>
      </c>
    </row>
    <row r="161" spans="1:15" x14ac:dyDescent="0.3">
      <c r="A161" s="1" t="s">
        <v>199</v>
      </c>
      <c r="B161" s="1" t="s">
        <v>32</v>
      </c>
      <c r="C161" s="1" t="s">
        <v>35</v>
      </c>
      <c r="D161">
        <v>4</v>
      </c>
      <c r="E161">
        <v>2</v>
      </c>
      <c r="F161">
        <v>3304</v>
      </c>
      <c r="G161">
        <v>924361</v>
      </c>
      <c r="H161">
        <v>918358</v>
      </c>
      <c r="I161" s="2">
        <v>45096</v>
      </c>
      <c r="J161" s="2">
        <v>45129</v>
      </c>
      <c r="K161">
        <v>33</v>
      </c>
      <c r="L161" s="1" t="s">
        <v>19</v>
      </c>
      <c r="M161" s="1" t="s">
        <v>20</v>
      </c>
      <c r="N161">
        <v>4.4999999999999998E-2</v>
      </c>
      <c r="O161">
        <v>41326.11</v>
      </c>
    </row>
    <row r="162" spans="1:15" x14ac:dyDescent="0.3">
      <c r="A162" s="1" t="s">
        <v>200</v>
      </c>
      <c r="B162" s="1" t="s">
        <v>41</v>
      </c>
      <c r="C162" s="1" t="s">
        <v>35</v>
      </c>
      <c r="D162">
        <v>5</v>
      </c>
      <c r="E162">
        <v>4</v>
      </c>
      <c r="F162">
        <v>3211</v>
      </c>
      <c r="G162">
        <v>1450858</v>
      </c>
      <c r="H162">
        <v>1418978</v>
      </c>
      <c r="I162" s="2">
        <v>45177</v>
      </c>
      <c r="J162" s="2">
        <v>45252</v>
      </c>
      <c r="K162">
        <v>75</v>
      </c>
      <c r="L162" s="1" t="s">
        <v>51</v>
      </c>
      <c r="M162" s="1" t="s">
        <v>24</v>
      </c>
      <c r="N162">
        <v>0.05</v>
      </c>
      <c r="O162">
        <v>70948.899999999994</v>
      </c>
    </row>
    <row r="163" spans="1:15" x14ac:dyDescent="0.3">
      <c r="A163" s="1" t="s">
        <v>201</v>
      </c>
      <c r="B163" s="1" t="s">
        <v>48</v>
      </c>
      <c r="C163" s="1" t="s">
        <v>38</v>
      </c>
      <c r="D163">
        <v>1</v>
      </c>
      <c r="E163">
        <v>1</v>
      </c>
      <c r="F163">
        <v>1556</v>
      </c>
      <c r="G163">
        <v>1302469</v>
      </c>
      <c r="H163">
        <v>1267831</v>
      </c>
      <c r="I163" s="2">
        <v>45472</v>
      </c>
      <c r="J163" s="2">
        <v>45481</v>
      </c>
      <c r="K163">
        <v>9</v>
      </c>
      <c r="L163" s="1" t="s">
        <v>39</v>
      </c>
      <c r="M163" s="1" t="s">
        <v>20</v>
      </c>
      <c r="N163">
        <v>0.05</v>
      </c>
      <c r="O163">
        <v>63391.55</v>
      </c>
    </row>
    <row r="164" spans="1:15" x14ac:dyDescent="0.3">
      <c r="A164" s="1" t="s">
        <v>202</v>
      </c>
      <c r="B164" s="1" t="s">
        <v>41</v>
      </c>
      <c r="C164" s="1" t="s">
        <v>35</v>
      </c>
      <c r="D164">
        <v>2</v>
      </c>
      <c r="E164">
        <v>4</v>
      </c>
      <c r="F164">
        <v>690</v>
      </c>
      <c r="G164">
        <v>1740421</v>
      </c>
      <c r="H164">
        <v>1687673</v>
      </c>
      <c r="I164" s="2">
        <v>45099</v>
      </c>
      <c r="J164" s="2">
        <v>45156</v>
      </c>
      <c r="K164">
        <v>57</v>
      </c>
      <c r="L164" s="1" t="s">
        <v>39</v>
      </c>
      <c r="M164" s="1" t="s">
        <v>24</v>
      </c>
      <c r="N164">
        <v>4.4999999999999998E-2</v>
      </c>
      <c r="O164">
        <v>75945.289999999994</v>
      </c>
    </row>
    <row r="165" spans="1:15" x14ac:dyDescent="0.3">
      <c r="A165" s="1" t="s">
        <v>203</v>
      </c>
      <c r="B165" s="1" t="s">
        <v>32</v>
      </c>
      <c r="C165" s="1" t="s">
        <v>35</v>
      </c>
      <c r="D165">
        <v>4</v>
      </c>
      <c r="E165">
        <v>4</v>
      </c>
      <c r="F165">
        <v>3459</v>
      </c>
      <c r="G165">
        <v>457225</v>
      </c>
      <c r="H165">
        <v>401904</v>
      </c>
      <c r="I165" s="2">
        <v>44949</v>
      </c>
      <c r="J165" s="2">
        <v>45007</v>
      </c>
      <c r="K165">
        <v>58</v>
      </c>
      <c r="L165" s="1" t="s">
        <v>53</v>
      </c>
      <c r="M165" s="1" t="s">
        <v>28</v>
      </c>
      <c r="N165">
        <v>0.05</v>
      </c>
      <c r="O165">
        <v>20095.2</v>
      </c>
    </row>
    <row r="166" spans="1:15" x14ac:dyDescent="0.3">
      <c r="A166" s="1" t="s">
        <v>204</v>
      </c>
      <c r="B166" s="1" t="s">
        <v>48</v>
      </c>
      <c r="C166" s="1" t="s">
        <v>38</v>
      </c>
      <c r="D166">
        <v>3</v>
      </c>
      <c r="E166">
        <v>4</v>
      </c>
      <c r="F166">
        <v>940</v>
      </c>
      <c r="G166">
        <v>1445191</v>
      </c>
      <c r="H166">
        <v>1417315</v>
      </c>
      <c r="I166" s="2">
        <v>45449</v>
      </c>
      <c r="J166" s="2">
        <v>45517</v>
      </c>
      <c r="K166">
        <v>68</v>
      </c>
      <c r="L166" s="1" t="s">
        <v>30</v>
      </c>
      <c r="M166" s="1" t="s">
        <v>24</v>
      </c>
      <c r="N166">
        <v>0.05</v>
      </c>
      <c r="O166">
        <v>70865.75</v>
      </c>
    </row>
    <row r="167" spans="1:15" x14ac:dyDescent="0.3">
      <c r="A167" s="1" t="s">
        <v>205</v>
      </c>
      <c r="B167" s="1" t="s">
        <v>17</v>
      </c>
      <c r="C167" s="1" t="s">
        <v>23</v>
      </c>
      <c r="D167">
        <v>2</v>
      </c>
      <c r="E167">
        <v>1</v>
      </c>
      <c r="F167">
        <v>733</v>
      </c>
      <c r="G167">
        <v>514165</v>
      </c>
      <c r="H167">
        <v>450760</v>
      </c>
      <c r="I167" s="2">
        <v>45479</v>
      </c>
      <c r="J167" s="2">
        <v>45517</v>
      </c>
      <c r="K167">
        <v>38</v>
      </c>
      <c r="L167" s="1" t="s">
        <v>42</v>
      </c>
      <c r="M167" s="1" t="s">
        <v>24</v>
      </c>
      <c r="N167">
        <v>4.4999999999999998E-2</v>
      </c>
      <c r="O167">
        <v>20284.2</v>
      </c>
    </row>
    <row r="168" spans="1:15" x14ac:dyDescent="0.3">
      <c r="A168" s="1" t="s">
        <v>206</v>
      </c>
      <c r="B168" s="1" t="s">
        <v>22</v>
      </c>
      <c r="C168" s="1" t="s">
        <v>38</v>
      </c>
      <c r="D168">
        <v>2</v>
      </c>
      <c r="E168">
        <v>3</v>
      </c>
      <c r="F168">
        <v>3468</v>
      </c>
      <c r="G168">
        <v>1562521</v>
      </c>
      <c r="H168">
        <v>1499188</v>
      </c>
      <c r="I168" s="2">
        <v>45388</v>
      </c>
      <c r="J168" s="2">
        <v>45478</v>
      </c>
      <c r="K168">
        <v>90</v>
      </c>
      <c r="L168" s="1" t="s">
        <v>44</v>
      </c>
      <c r="M168" s="1" t="s">
        <v>24</v>
      </c>
      <c r="N168">
        <v>4.4999999999999998E-2</v>
      </c>
      <c r="O168">
        <v>67463.460000000006</v>
      </c>
    </row>
    <row r="169" spans="1:15" x14ac:dyDescent="0.3">
      <c r="A169" s="1" t="s">
        <v>207</v>
      </c>
      <c r="B169" s="1" t="s">
        <v>26</v>
      </c>
      <c r="C169" s="1" t="s">
        <v>38</v>
      </c>
      <c r="D169">
        <v>2</v>
      </c>
      <c r="E169">
        <v>1</v>
      </c>
      <c r="F169">
        <v>3020</v>
      </c>
      <c r="G169">
        <v>1298693</v>
      </c>
      <c r="H169">
        <v>1234269</v>
      </c>
      <c r="I169" s="2">
        <v>45128</v>
      </c>
      <c r="J169" s="2">
        <v>45191</v>
      </c>
      <c r="K169">
        <v>63</v>
      </c>
      <c r="L169" s="1" t="s">
        <v>39</v>
      </c>
      <c r="M169" s="1" t="s">
        <v>24</v>
      </c>
      <c r="N169">
        <v>0.04</v>
      </c>
      <c r="O169">
        <v>49370.76</v>
      </c>
    </row>
    <row r="170" spans="1:15" x14ac:dyDescent="0.3">
      <c r="A170" s="1" t="s">
        <v>208</v>
      </c>
      <c r="B170" s="1" t="s">
        <v>17</v>
      </c>
      <c r="C170" s="1" t="s">
        <v>23</v>
      </c>
      <c r="D170">
        <v>1</v>
      </c>
      <c r="E170">
        <v>2</v>
      </c>
      <c r="F170">
        <v>1406</v>
      </c>
      <c r="G170">
        <v>881502</v>
      </c>
      <c r="H170">
        <v>880592</v>
      </c>
      <c r="I170" s="2">
        <v>45597</v>
      </c>
      <c r="J170" s="2">
        <v>45673</v>
      </c>
      <c r="K170">
        <v>76</v>
      </c>
      <c r="L170" s="1" t="s">
        <v>44</v>
      </c>
      <c r="M170" s="1" t="s">
        <v>28</v>
      </c>
      <c r="N170">
        <v>0.05</v>
      </c>
      <c r="O170">
        <v>44029.599999999999</v>
      </c>
    </row>
    <row r="171" spans="1:15" x14ac:dyDescent="0.3">
      <c r="A171" s="1" t="s">
        <v>209</v>
      </c>
      <c r="B171" s="1" t="s">
        <v>17</v>
      </c>
      <c r="C171" s="1" t="s">
        <v>18</v>
      </c>
      <c r="D171">
        <v>4</v>
      </c>
      <c r="E171">
        <v>4</v>
      </c>
      <c r="F171">
        <v>2962</v>
      </c>
      <c r="G171">
        <v>1377550</v>
      </c>
      <c r="H171">
        <v>1363274</v>
      </c>
      <c r="I171" s="2">
        <v>45404</v>
      </c>
      <c r="J171" s="2">
        <v>45491</v>
      </c>
      <c r="K171">
        <v>87</v>
      </c>
      <c r="L171" s="1" t="s">
        <v>27</v>
      </c>
      <c r="M171" s="1" t="s">
        <v>20</v>
      </c>
      <c r="N171">
        <v>0.04</v>
      </c>
      <c r="O171">
        <v>54530.96</v>
      </c>
    </row>
    <row r="172" spans="1:15" x14ac:dyDescent="0.3">
      <c r="A172" s="1" t="s">
        <v>210</v>
      </c>
      <c r="B172" s="1" t="s">
        <v>48</v>
      </c>
      <c r="C172" s="1" t="s">
        <v>33</v>
      </c>
      <c r="D172">
        <v>1</v>
      </c>
      <c r="E172">
        <v>1</v>
      </c>
      <c r="F172">
        <v>735</v>
      </c>
      <c r="G172">
        <v>815610</v>
      </c>
      <c r="H172">
        <v>806377</v>
      </c>
      <c r="I172" s="2">
        <v>44985</v>
      </c>
      <c r="J172" s="2">
        <v>45054</v>
      </c>
      <c r="K172">
        <v>69</v>
      </c>
      <c r="L172" s="1" t="s">
        <v>19</v>
      </c>
      <c r="M172" s="1" t="s">
        <v>24</v>
      </c>
      <c r="N172">
        <v>0.05</v>
      </c>
      <c r="O172">
        <v>40318.85</v>
      </c>
    </row>
    <row r="173" spans="1:15" x14ac:dyDescent="0.3">
      <c r="A173" s="1" t="s">
        <v>211</v>
      </c>
      <c r="B173" s="1" t="s">
        <v>17</v>
      </c>
      <c r="C173" s="1" t="s">
        <v>35</v>
      </c>
      <c r="D173">
        <v>5</v>
      </c>
      <c r="E173">
        <v>2</v>
      </c>
      <c r="F173">
        <v>1509</v>
      </c>
      <c r="G173">
        <v>1713384</v>
      </c>
      <c r="H173">
        <v>1662714</v>
      </c>
      <c r="I173" s="2">
        <v>45349</v>
      </c>
      <c r="J173" s="2">
        <v>45358</v>
      </c>
      <c r="K173">
        <v>9</v>
      </c>
      <c r="L173" s="1" t="s">
        <v>42</v>
      </c>
      <c r="M173" s="1" t="s">
        <v>28</v>
      </c>
      <c r="N173">
        <v>0.04</v>
      </c>
      <c r="O173">
        <v>66508.56</v>
      </c>
    </row>
    <row r="174" spans="1:15" x14ac:dyDescent="0.3">
      <c r="A174" s="1" t="s">
        <v>212</v>
      </c>
      <c r="B174" s="1" t="s">
        <v>41</v>
      </c>
      <c r="C174" s="1" t="s">
        <v>35</v>
      </c>
      <c r="D174">
        <v>3</v>
      </c>
      <c r="E174">
        <v>1</v>
      </c>
      <c r="F174">
        <v>2160</v>
      </c>
      <c r="G174">
        <v>583210</v>
      </c>
      <c r="H174">
        <v>551255</v>
      </c>
      <c r="I174" s="2">
        <v>45508</v>
      </c>
      <c r="J174" s="2">
        <v>45577</v>
      </c>
      <c r="K174">
        <v>69</v>
      </c>
      <c r="L174" s="1" t="s">
        <v>19</v>
      </c>
      <c r="M174" s="1" t="s">
        <v>20</v>
      </c>
      <c r="N174">
        <v>4.4999999999999998E-2</v>
      </c>
      <c r="O174">
        <v>24806.47</v>
      </c>
    </row>
    <row r="175" spans="1:15" x14ac:dyDescent="0.3">
      <c r="A175" s="1" t="s">
        <v>213</v>
      </c>
      <c r="B175" s="1" t="s">
        <v>48</v>
      </c>
      <c r="C175" s="1" t="s">
        <v>23</v>
      </c>
      <c r="D175">
        <v>1</v>
      </c>
      <c r="E175">
        <v>4</v>
      </c>
      <c r="F175">
        <v>1290</v>
      </c>
      <c r="G175">
        <v>698051</v>
      </c>
      <c r="H175">
        <v>630149</v>
      </c>
      <c r="I175" s="2">
        <v>45232</v>
      </c>
      <c r="J175" s="2">
        <v>45319</v>
      </c>
      <c r="K175">
        <v>87</v>
      </c>
      <c r="L175" s="1" t="s">
        <v>44</v>
      </c>
      <c r="M175" s="1" t="s">
        <v>20</v>
      </c>
      <c r="N175">
        <v>4.4999999999999998E-2</v>
      </c>
      <c r="O175">
        <v>28356.7</v>
      </c>
    </row>
    <row r="176" spans="1:15" x14ac:dyDescent="0.3">
      <c r="A176" s="1" t="s">
        <v>214</v>
      </c>
      <c r="B176" s="1" t="s">
        <v>37</v>
      </c>
      <c r="C176" s="1" t="s">
        <v>33</v>
      </c>
      <c r="D176">
        <v>1</v>
      </c>
      <c r="E176">
        <v>2</v>
      </c>
      <c r="F176">
        <v>1410</v>
      </c>
      <c r="G176">
        <v>1708295</v>
      </c>
      <c r="H176">
        <v>1653031</v>
      </c>
      <c r="I176" s="2">
        <v>45421</v>
      </c>
      <c r="J176" s="2">
        <v>45507</v>
      </c>
      <c r="K176">
        <v>86</v>
      </c>
      <c r="L176" s="1" t="s">
        <v>51</v>
      </c>
      <c r="M176" s="1" t="s">
        <v>24</v>
      </c>
      <c r="N176">
        <v>0.04</v>
      </c>
      <c r="O176">
        <v>66121.240000000005</v>
      </c>
    </row>
    <row r="177" spans="1:15" x14ac:dyDescent="0.3">
      <c r="A177" s="1" t="s">
        <v>215</v>
      </c>
      <c r="B177" s="1" t="s">
        <v>59</v>
      </c>
      <c r="C177" s="1" t="s">
        <v>35</v>
      </c>
      <c r="D177">
        <v>3</v>
      </c>
      <c r="E177">
        <v>2</v>
      </c>
      <c r="F177">
        <v>3096</v>
      </c>
      <c r="G177">
        <v>643558</v>
      </c>
      <c r="H177">
        <v>570615</v>
      </c>
      <c r="I177" s="2">
        <v>45365</v>
      </c>
      <c r="J177" s="2">
        <v>45375</v>
      </c>
      <c r="K177">
        <v>10</v>
      </c>
      <c r="L177" s="1" t="s">
        <v>39</v>
      </c>
      <c r="M177" s="1" t="s">
        <v>28</v>
      </c>
      <c r="N177">
        <v>4.4999999999999998E-2</v>
      </c>
      <c r="O177">
        <v>25677.67</v>
      </c>
    </row>
    <row r="178" spans="1:15" x14ac:dyDescent="0.3">
      <c r="A178" s="1" t="s">
        <v>216</v>
      </c>
      <c r="B178" s="1" t="s">
        <v>22</v>
      </c>
      <c r="C178" s="1" t="s">
        <v>18</v>
      </c>
      <c r="D178">
        <v>5</v>
      </c>
      <c r="E178">
        <v>1</v>
      </c>
      <c r="F178">
        <v>2923</v>
      </c>
      <c r="G178">
        <v>729998</v>
      </c>
      <c r="H178">
        <v>654822</v>
      </c>
      <c r="I178" s="2">
        <v>45246</v>
      </c>
      <c r="J178" s="2">
        <v>45322</v>
      </c>
      <c r="K178">
        <v>76</v>
      </c>
      <c r="L178" s="1" t="s">
        <v>51</v>
      </c>
      <c r="M178" s="1" t="s">
        <v>28</v>
      </c>
      <c r="N178">
        <v>0.05</v>
      </c>
      <c r="O178">
        <v>32741.1</v>
      </c>
    </row>
    <row r="179" spans="1:15" x14ac:dyDescent="0.3">
      <c r="A179" s="1" t="s">
        <v>217</v>
      </c>
      <c r="B179" s="1" t="s">
        <v>37</v>
      </c>
      <c r="C179" s="1" t="s">
        <v>38</v>
      </c>
      <c r="D179">
        <v>2</v>
      </c>
      <c r="E179">
        <v>1</v>
      </c>
      <c r="F179">
        <v>3107</v>
      </c>
      <c r="G179">
        <v>648436</v>
      </c>
      <c r="H179">
        <v>628078</v>
      </c>
      <c r="I179" s="2">
        <v>44938</v>
      </c>
      <c r="J179" s="2">
        <v>44949</v>
      </c>
      <c r="K179">
        <v>11</v>
      </c>
      <c r="L179" s="1" t="s">
        <v>27</v>
      </c>
      <c r="M179" s="1" t="s">
        <v>24</v>
      </c>
      <c r="N179">
        <v>0.05</v>
      </c>
      <c r="O179">
        <v>31403.9</v>
      </c>
    </row>
    <row r="180" spans="1:15" x14ac:dyDescent="0.3">
      <c r="A180" s="1" t="s">
        <v>218</v>
      </c>
      <c r="B180" s="1" t="s">
        <v>32</v>
      </c>
      <c r="C180" s="1" t="s">
        <v>33</v>
      </c>
      <c r="D180">
        <v>1</v>
      </c>
      <c r="E180">
        <v>2</v>
      </c>
      <c r="F180">
        <v>1315</v>
      </c>
      <c r="G180">
        <v>1546471</v>
      </c>
      <c r="H180">
        <v>1537203</v>
      </c>
      <c r="I180" s="2">
        <v>45327</v>
      </c>
      <c r="J180" s="2">
        <v>45361</v>
      </c>
      <c r="K180">
        <v>34</v>
      </c>
      <c r="L180" s="1" t="s">
        <v>44</v>
      </c>
      <c r="M180" s="1" t="s">
        <v>28</v>
      </c>
      <c r="N180">
        <v>4.4999999999999998E-2</v>
      </c>
      <c r="O180">
        <v>69174.13</v>
      </c>
    </row>
    <row r="181" spans="1:15" x14ac:dyDescent="0.3">
      <c r="A181" s="1" t="s">
        <v>219</v>
      </c>
      <c r="B181" s="1" t="s">
        <v>26</v>
      </c>
      <c r="C181" s="1" t="s">
        <v>23</v>
      </c>
      <c r="D181">
        <v>2</v>
      </c>
      <c r="E181">
        <v>4</v>
      </c>
      <c r="F181">
        <v>1942</v>
      </c>
      <c r="G181">
        <v>1686049</v>
      </c>
      <c r="H181">
        <v>1613947</v>
      </c>
      <c r="I181" s="2">
        <v>45602</v>
      </c>
      <c r="J181" s="2">
        <v>45650</v>
      </c>
      <c r="K181">
        <v>48</v>
      </c>
      <c r="L181" s="1" t="s">
        <v>42</v>
      </c>
      <c r="M181" s="1" t="s">
        <v>20</v>
      </c>
      <c r="N181">
        <v>0.04</v>
      </c>
      <c r="O181">
        <v>64557.88</v>
      </c>
    </row>
    <row r="182" spans="1:15" x14ac:dyDescent="0.3">
      <c r="A182" s="1" t="s">
        <v>220</v>
      </c>
      <c r="B182" s="1" t="s">
        <v>41</v>
      </c>
      <c r="C182" s="1" t="s">
        <v>33</v>
      </c>
      <c r="D182">
        <v>4</v>
      </c>
      <c r="E182">
        <v>2</v>
      </c>
      <c r="F182">
        <v>2972</v>
      </c>
      <c r="G182">
        <v>1560466</v>
      </c>
      <c r="H182">
        <v>1505383</v>
      </c>
      <c r="I182" s="2">
        <v>45568</v>
      </c>
      <c r="J182" s="2">
        <v>45611</v>
      </c>
      <c r="K182">
        <v>43</v>
      </c>
      <c r="L182" s="1" t="s">
        <v>39</v>
      </c>
      <c r="M182" s="1" t="s">
        <v>28</v>
      </c>
      <c r="N182">
        <v>4.4999999999999998E-2</v>
      </c>
      <c r="O182">
        <v>67742.240000000005</v>
      </c>
    </row>
    <row r="183" spans="1:15" x14ac:dyDescent="0.3">
      <c r="A183" s="1" t="s">
        <v>221</v>
      </c>
      <c r="B183" s="1" t="s">
        <v>41</v>
      </c>
      <c r="C183" s="1" t="s">
        <v>18</v>
      </c>
      <c r="D183">
        <v>2</v>
      </c>
      <c r="E183">
        <v>3</v>
      </c>
      <c r="F183">
        <v>1350</v>
      </c>
      <c r="G183">
        <v>770181</v>
      </c>
      <c r="H183">
        <v>738771</v>
      </c>
      <c r="I183" s="2">
        <v>45333</v>
      </c>
      <c r="J183" s="2">
        <v>45421</v>
      </c>
      <c r="K183">
        <v>88</v>
      </c>
      <c r="L183" s="1" t="s">
        <v>30</v>
      </c>
      <c r="M183" s="1" t="s">
        <v>28</v>
      </c>
      <c r="N183">
        <v>4.4999999999999998E-2</v>
      </c>
      <c r="O183">
        <v>33244.69</v>
      </c>
    </row>
    <row r="184" spans="1:15" x14ac:dyDescent="0.3">
      <c r="A184" s="1" t="s">
        <v>222</v>
      </c>
      <c r="B184" s="1" t="s">
        <v>59</v>
      </c>
      <c r="C184" s="1" t="s">
        <v>33</v>
      </c>
      <c r="D184">
        <v>3</v>
      </c>
      <c r="E184">
        <v>4</v>
      </c>
      <c r="F184">
        <v>1516</v>
      </c>
      <c r="G184">
        <v>1009294</v>
      </c>
      <c r="H184">
        <v>979472</v>
      </c>
      <c r="I184" s="2">
        <v>45067</v>
      </c>
      <c r="J184" s="2">
        <v>45098</v>
      </c>
      <c r="K184">
        <v>31</v>
      </c>
      <c r="L184" s="1" t="s">
        <v>53</v>
      </c>
      <c r="M184" s="1" t="s">
        <v>24</v>
      </c>
      <c r="N184">
        <v>0.04</v>
      </c>
      <c r="O184">
        <v>39178.879999999997</v>
      </c>
    </row>
    <row r="185" spans="1:15" x14ac:dyDescent="0.3">
      <c r="A185" s="1" t="s">
        <v>223</v>
      </c>
      <c r="B185" s="1" t="s">
        <v>48</v>
      </c>
      <c r="C185" s="1" t="s">
        <v>38</v>
      </c>
      <c r="D185">
        <v>4</v>
      </c>
      <c r="E185">
        <v>3</v>
      </c>
      <c r="F185">
        <v>933</v>
      </c>
      <c r="G185">
        <v>1795533</v>
      </c>
      <c r="H185">
        <v>1746790</v>
      </c>
      <c r="I185" s="2">
        <v>45391</v>
      </c>
      <c r="J185" s="2">
        <v>45442</v>
      </c>
      <c r="K185">
        <v>51</v>
      </c>
      <c r="L185" s="1" t="s">
        <v>44</v>
      </c>
      <c r="M185" s="1" t="s">
        <v>20</v>
      </c>
      <c r="N185">
        <v>0.04</v>
      </c>
      <c r="O185">
        <v>69871.600000000006</v>
      </c>
    </row>
    <row r="186" spans="1:15" x14ac:dyDescent="0.3">
      <c r="A186" s="1" t="s">
        <v>224</v>
      </c>
      <c r="B186" s="1" t="s">
        <v>32</v>
      </c>
      <c r="C186" s="1" t="s">
        <v>38</v>
      </c>
      <c r="D186">
        <v>5</v>
      </c>
      <c r="E186">
        <v>1</v>
      </c>
      <c r="F186">
        <v>1758</v>
      </c>
      <c r="G186">
        <v>873136</v>
      </c>
      <c r="H186">
        <v>868941</v>
      </c>
      <c r="I186" s="2">
        <v>45280</v>
      </c>
      <c r="J186" s="2">
        <v>45322</v>
      </c>
      <c r="K186">
        <v>42</v>
      </c>
      <c r="L186" s="1" t="s">
        <v>51</v>
      </c>
      <c r="M186" s="1" t="s">
        <v>28</v>
      </c>
      <c r="N186">
        <v>0.04</v>
      </c>
      <c r="O186">
        <v>34757.64</v>
      </c>
    </row>
    <row r="187" spans="1:15" x14ac:dyDescent="0.3">
      <c r="A187" s="1" t="s">
        <v>225</v>
      </c>
      <c r="B187" s="1" t="s">
        <v>26</v>
      </c>
      <c r="C187" s="1" t="s">
        <v>18</v>
      </c>
      <c r="D187">
        <v>3</v>
      </c>
      <c r="E187">
        <v>2</v>
      </c>
      <c r="F187">
        <v>3207</v>
      </c>
      <c r="G187">
        <v>1059866</v>
      </c>
      <c r="H187">
        <v>1036669</v>
      </c>
      <c r="I187" s="2">
        <v>45187</v>
      </c>
      <c r="J187" s="2">
        <v>45224</v>
      </c>
      <c r="K187">
        <v>37</v>
      </c>
      <c r="L187" s="1" t="s">
        <v>42</v>
      </c>
      <c r="M187" s="1" t="s">
        <v>20</v>
      </c>
      <c r="N187">
        <v>4.4999999999999998E-2</v>
      </c>
      <c r="O187">
        <v>46650.1</v>
      </c>
    </row>
    <row r="188" spans="1:15" x14ac:dyDescent="0.3">
      <c r="A188" s="1" t="s">
        <v>226</v>
      </c>
      <c r="B188" s="1" t="s">
        <v>48</v>
      </c>
      <c r="C188" s="1" t="s">
        <v>23</v>
      </c>
      <c r="D188">
        <v>3</v>
      </c>
      <c r="E188">
        <v>3</v>
      </c>
      <c r="F188">
        <v>2185</v>
      </c>
      <c r="G188">
        <v>1225403</v>
      </c>
      <c r="H188">
        <v>1153025</v>
      </c>
      <c r="I188" s="2">
        <v>45294</v>
      </c>
      <c r="J188" s="2">
        <v>45330</v>
      </c>
      <c r="K188">
        <v>36</v>
      </c>
      <c r="L188" s="1" t="s">
        <v>51</v>
      </c>
      <c r="M188" s="1" t="s">
        <v>28</v>
      </c>
      <c r="N188">
        <v>4.4999999999999998E-2</v>
      </c>
      <c r="O188">
        <v>51886.12</v>
      </c>
    </row>
    <row r="189" spans="1:15" x14ac:dyDescent="0.3">
      <c r="A189" s="1" t="s">
        <v>227</v>
      </c>
      <c r="B189" s="1" t="s">
        <v>37</v>
      </c>
      <c r="C189" s="1" t="s">
        <v>33</v>
      </c>
      <c r="D189">
        <v>1</v>
      </c>
      <c r="E189">
        <v>1</v>
      </c>
      <c r="F189">
        <v>1501</v>
      </c>
      <c r="G189">
        <v>994597</v>
      </c>
      <c r="H189">
        <v>962031</v>
      </c>
      <c r="I189" s="2">
        <v>45602</v>
      </c>
      <c r="J189" s="2">
        <v>45632</v>
      </c>
      <c r="K189">
        <v>30</v>
      </c>
      <c r="L189" s="1" t="s">
        <v>27</v>
      </c>
      <c r="M189" s="1" t="s">
        <v>20</v>
      </c>
      <c r="N189">
        <v>0.04</v>
      </c>
      <c r="O189">
        <v>38481.24</v>
      </c>
    </row>
    <row r="190" spans="1:15" x14ac:dyDescent="0.3">
      <c r="A190" s="1" t="s">
        <v>228</v>
      </c>
      <c r="B190" s="1" t="s">
        <v>26</v>
      </c>
      <c r="C190" s="1" t="s">
        <v>35</v>
      </c>
      <c r="D190">
        <v>3</v>
      </c>
      <c r="E190">
        <v>4</v>
      </c>
      <c r="F190">
        <v>2190</v>
      </c>
      <c r="G190">
        <v>1081761</v>
      </c>
      <c r="H190">
        <v>1018216</v>
      </c>
      <c r="I190" s="2">
        <v>45208</v>
      </c>
      <c r="J190" s="2">
        <v>45222</v>
      </c>
      <c r="K190">
        <v>14</v>
      </c>
      <c r="L190" s="1" t="s">
        <v>27</v>
      </c>
      <c r="M190" s="1" t="s">
        <v>28</v>
      </c>
      <c r="N190">
        <v>4.4999999999999998E-2</v>
      </c>
      <c r="O190">
        <v>45819.72</v>
      </c>
    </row>
    <row r="191" spans="1:15" x14ac:dyDescent="0.3">
      <c r="A191" s="1" t="s">
        <v>229</v>
      </c>
      <c r="B191" s="1" t="s">
        <v>26</v>
      </c>
      <c r="C191" s="1" t="s">
        <v>18</v>
      </c>
      <c r="D191">
        <v>5</v>
      </c>
      <c r="E191">
        <v>4</v>
      </c>
      <c r="F191">
        <v>3295</v>
      </c>
      <c r="G191">
        <v>1532289</v>
      </c>
      <c r="H191">
        <v>1467249</v>
      </c>
      <c r="I191" s="2">
        <v>45232</v>
      </c>
      <c r="J191" s="2">
        <v>45312</v>
      </c>
      <c r="K191">
        <v>80</v>
      </c>
      <c r="L191" s="1" t="s">
        <v>44</v>
      </c>
      <c r="M191" s="1" t="s">
        <v>28</v>
      </c>
      <c r="N191">
        <v>4.4999999999999998E-2</v>
      </c>
      <c r="O191">
        <v>66026.210000000006</v>
      </c>
    </row>
    <row r="192" spans="1:15" x14ac:dyDescent="0.3">
      <c r="A192" s="1" t="s">
        <v>230</v>
      </c>
      <c r="B192" s="1" t="s">
        <v>37</v>
      </c>
      <c r="C192" s="1" t="s">
        <v>33</v>
      </c>
      <c r="D192">
        <v>4</v>
      </c>
      <c r="E192">
        <v>1</v>
      </c>
      <c r="F192">
        <v>2855</v>
      </c>
      <c r="G192">
        <v>880443</v>
      </c>
      <c r="H192">
        <v>869370</v>
      </c>
      <c r="I192" s="2">
        <v>44968</v>
      </c>
      <c r="J192" s="2">
        <v>44993</v>
      </c>
      <c r="K192">
        <v>25</v>
      </c>
      <c r="L192" s="1" t="s">
        <v>39</v>
      </c>
      <c r="M192" s="1" t="s">
        <v>24</v>
      </c>
      <c r="N192">
        <v>4.4999999999999998E-2</v>
      </c>
      <c r="O192">
        <v>39121.65</v>
      </c>
    </row>
    <row r="193" spans="1:15" x14ac:dyDescent="0.3">
      <c r="A193" s="1" t="s">
        <v>231</v>
      </c>
      <c r="B193" s="1" t="s">
        <v>32</v>
      </c>
      <c r="C193" s="1" t="s">
        <v>33</v>
      </c>
      <c r="D193">
        <v>5</v>
      </c>
      <c r="E193">
        <v>3</v>
      </c>
      <c r="F193">
        <v>3093</v>
      </c>
      <c r="G193">
        <v>1206462</v>
      </c>
      <c r="H193">
        <v>1129168</v>
      </c>
      <c r="I193" s="2">
        <v>45033</v>
      </c>
      <c r="J193" s="2">
        <v>45059</v>
      </c>
      <c r="K193">
        <v>26</v>
      </c>
      <c r="L193" s="1" t="s">
        <v>44</v>
      </c>
      <c r="M193" s="1" t="s">
        <v>28</v>
      </c>
      <c r="N193">
        <v>0.05</v>
      </c>
      <c r="O193">
        <v>56458.400000000001</v>
      </c>
    </row>
    <row r="194" spans="1:15" x14ac:dyDescent="0.3">
      <c r="A194" s="1" t="s">
        <v>232</v>
      </c>
      <c r="B194" s="1" t="s">
        <v>22</v>
      </c>
      <c r="C194" s="1" t="s">
        <v>33</v>
      </c>
      <c r="D194">
        <v>3</v>
      </c>
      <c r="E194">
        <v>4</v>
      </c>
      <c r="F194">
        <v>1516</v>
      </c>
      <c r="G194">
        <v>904669</v>
      </c>
      <c r="H194">
        <v>861762</v>
      </c>
      <c r="I194" s="2">
        <v>45137</v>
      </c>
      <c r="J194" s="2">
        <v>45194</v>
      </c>
      <c r="K194">
        <v>57</v>
      </c>
      <c r="L194" s="1" t="s">
        <v>30</v>
      </c>
      <c r="M194" s="1" t="s">
        <v>20</v>
      </c>
      <c r="N194">
        <v>0.04</v>
      </c>
      <c r="O194">
        <v>34470.480000000003</v>
      </c>
    </row>
    <row r="195" spans="1:15" x14ac:dyDescent="0.3">
      <c r="A195" s="1" t="s">
        <v>233</v>
      </c>
      <c r="B195" s="1" t="s">
        <v>48</v>
      </c>
      <c r="C195" s="1" t="s">
        <v>33</v>
      </c>
      <c r="D195">
        <v>3</v>
      </c>
      <c r="E195">
        <v>4</v>
      </c>
      <c r="F195">
        <v>1099</v>
      </c>
      <c r="G195">
        <v>1045169</v>
      </c>
      <c r="H195">
        <v>1011526</v>
      </c>
      <c r="I195" s="2">
        <v>45476</v>
      </c>
      <c r="J195" s="2">
        <v>45525</v>
      </c>
      <c r="K195">
        <v>49</v>
      </c>
      <c r="L195" s="1" t="s">
        <v>39</v>
      </c>
      <c r="M195" s="1" t="s">
        <v>28</v>
      </c>
      <c r="N195">
        <v>4.4999999999999998E-2</v>
      </c>
      <c r="O195">
        <v>45518.67</v>
      </c>
    </row>
    <row r="196" spans="1:15" x14ac:dyDescent="0.3">
      <c r="A196" s="1" t="s">
        <v>234</v>
      </c>
      <c r="B196" s="1" t="s">
        <v>26</v>
      </c>
      <c r="C196" s="1" t="s">
        <v>35</v>
      </c>
      <c r="D196">
        <v>5</v>
      </c>
      <c r="E196">
        <v>3</v>
      </c>
      <c r="F196">
        <v>2163</v>
      </c>
      <c r="G196">
        <v>661934</v>
      </c>
      <c r="H196">
        <v>590010</v>
      </c>
      <c r="I196" s="2">
        <v>45299</v>
      </c>
      <c r="J196" s="2">
        <v>45331</v>
      </c>
      <c r="K196">
        <v>32</v>
      </c>
      <c r="L196" s="1" t="s">
        <v>19</v>
      </c>
      <c r="M196" s="1" t="s">
        <v>24</v>
      </c>
      <c r="N196">
        <v>0.04</v>
      </c>
      <c r="O196">
        <v>23600.400000000001</v>
      </c>
    </row>
    <row r="197" spans="1:15" x14ac:dyDescent="0.3">
      <c r="A197" s="1" t="s">
        <v>235</v>
      </c>
      <c r="B197" s="1" t="s">
        <v>41</v>
      </c>
      <c r="C197" s="1" t="s">
        <v>33</v>
      </c>
      <c r="D197">
        <v>5</v>
      </c>
      <c r="E197">
        <v>4</v>
      </c>
      <c r="F197">
        <v>3074</v>
      </c>
      <c r="G197">
        <v>1612832</v>
      </c>
      <c r="H197">
        <v>1606363</v>
      </c>
      <c r="I197" s="2">
        <v>44954</v>
      </c>
      <c r="J197" s="2">
        <v>45018</v>
      </c>
      <c r="K197">
        <v>64</v>
      </c>
      <c r="L197" s="1" t="s">
        <v>30</v>
      </c>
      <c r="M197" s="1" t="s">
        <v>20</v>
      </c>
      <c r="N197">
        <v>4.4999999999999998E-2</v>
      </c>
      <c r="O197">
        <v>72286.33</v>
      </c>
    </row>
    <row r="198" spans="1:15" x14ac:dyDescent="0.3">
      <c r="A198" s="1" t="s">
        <v>236</v>
      </c>
      <c r="B198" s="1" t="s">
        <v>37</v>
      </c>
      <c r="C198" s="1" t="s">
        <v>38</v>
      </c>
      <c r="D198">
        <v>2</v>
      </c>
      <c r="E198">
        <v>4</v>
      </c>
      <c r="F198">
        <v>2816</v>
      </c>
      <c r="G198">
        <v>1117054</v>
      </c>
      <c r="H198">
        <v>1095017</v>
      </c>
      <c r="I198" s="2">
        <v>45049</v>
      </c>
      <c r="J198" s="2">
        <v>45083</v>
      </c>
      <c r="K198">
        <v>34</v>
      </c>
      <c r="L198" s="1" t="s">
        <v>19</v>
      </c>
      <c r="M198" s="1" t="s">
        <v>28</v>
      </c>
      <c r="N198">
        <v>0.05</v>
      </c>
      <c r="O198">
        <v>54750.85</v>
      </c>
    </row>
    <row r="199" spans="1:15" x14ac:dyDescent="0.3">
      <c r="A199" s="1" t="s">
        <v>237</v>
      </c>
      <c r="B199" s="1" t="s">
        <v>22</v>
      </c>
      <c r="C199" s="1" t="s">
        <v>35</v>
      </c>
      <c r="D199">
        <v>3</v>
      </c>
      <c r="E199">
        <v>4</v>
      </c>
      <c r="F199">
        <v>1840</v>
      </c>
      <c r="G199">
        <v>1751533</v>
      </c>
      <c r="H199">
        <v>1738316</v>
      </c>
      <c r="I199" s="2">
        <v>45455</v>
      </c>
      <c r="J199" s="2">
        <v>45522</v>
      </c>
      <c r="K199">
        <v>67</v>
      </c>
      <c r="L199" s="1" t="s">
        <v>42</v>
      </c>
      <c r="M199" s="1" t="s">
        <v>24</v>
      </c>
      <c r="N199">
        <v>0.05</v>
      </c>
      <c r="O199">
        <v>86915.8</v>
      </c>
    </row>
    <row r="200" spans="1:15" x14ac:dyDescent="0.3">
      <c r="A200" s="1" t="s">
        <v>238</v>
      </c>
      <c r="B200" s="1" t="s">
        <v>32</v>
      </c>
      <c r="C200" s="1" t="s">
        <v>18</v>
      </c>
      <c r="D200">
        <v>4</v>
      </c>
      <c r="E200">
        <v>2</v>
      </c>
      <c r="F200">
        <v>3334</v>
      </c>
      <c r="G200">
        <v>1792792</v>
      </c>
      <c r="H200">
        <v>1714531</v>
      </c>
      <c r="I200" s="2">
        <v>45618</v>
      </c>
      <c r="J200" s="2">
        <v>45687</v>
      </c>
      <c r="K200">
        <v>69</v>
      </c>
      <c r="L200" s="1" t="s">
        <v>53</v>
      </c>
      <c r="M200" s="1" t="s">
        <v>20</v>
      </c>
      <c r="N200">
        <v>4.4999999999999998E-2</v>
      </c>
      <c r="O200">
        <v>77153.899999999994</v>
      </c>
    </row>
    <row r="201" spans="1:15" x14ac:dyDescent="0.3">
      <c r="A201" s="1" t="s">
        <v>239</v>
      </c>
      <c r="B201" s="1" t="s">
        <v>41</v>
      </c>
      <c r="C201" s="1" t="s">
        <v>33</v>
      </c>
      <c r="D201">
        <v>1</v>
      </c>
      <c r="E201">
        <v>3</v>
      </c>
      <c r="F201">
        <v>1188</v>
      </c>
      <c r="G201">
        <v>1207362</v>
      </c>
      <c r="H201">
        <v>1143060</v>
      </c>
      <c r="I201" s="2">
        <v>44928</v>
      </c>
      <c r="J201" s="2">
        <v>44948</v>
      </c>
      <c r="K201">
        <v>20</v>
      </c>
      <c r="L201" s="1" t="s">
        <v>53</v>
      </c>
      <c r="M201" s="1" t="s">
        <v>28</v>
      </c>
      <c r="N201">
        <v>4.4999999999999998E-2</v>
      </c>
      <c r="O201">
        <v>51437.7</v>
      </c>
    </row>
    <row r="202" spans="1:15" x14ac:dyDescent="0.3">
      <c r="A202" s="1" t="s">
        <v>240</v>
      </c>
      <c r="B202" s="1" t="s">
        <v>32</v>
      </c>
      <c r="C202" s="1" t="s">
        <v>38</v>
      </c>
      <c r="D202">
        <v>1</v>
      </c>
      <c r="E202">
        <v>2</v>
      </c>
      <c r="F202">
        <v>1032</v>
      </c>
      <c r="G202">
        <v>1076891</v>
      </c>
      <c r="H202">
        <v>1042227</v>
      </c>
      <c r="I202" s="2">
        <v>45249</v>
      </c>
      <c r="J202" s="2">
        <v>45335</v>
      </c>
      <c r="K202">
        <v>86</v>
      </c>
      <c r="L202" s="1" t="s">
        <v>42</v>
      </c>
      <c r="M202" s="1" t="s">
        <v>28</v>
      </c>
      <c r="N202">
        <v>4.4999999999999998E-2</v>
      </c>
      <c r="O202">
        <v>46900.21</v>
      </c>
    </row>
    <row r="203" spans="1:15" x14ac:dyDescent="0.3">
      <c r="A203" s="1" t="s">
        <v>241</v>
      </c>
      <c r="B203" s="1" t="s">
        <v>32</v>
      </c>
      <c r="C203" s="1" t="s">
        <v>18</v>
      </c>
      <c r="D203">
        <v>5</v>
      </c>
      <c r="E203">
        <v>4</v>
      </c>
      <c r="F203">
        <v>1370</v>
      </c>
      <c r="G203">
        <v>966074</v>
      </c>
      <c r="H203">
        <v>909046</v>
      </c>
      <c r="I203" s="2">
        <v>45371</v>
      </c>
      <c r="J203" s="2">
        <v>45397</v>
      </c>
      <c r="K203">
        <v>26</v>
      </c>
      <c r="L203" s="1" t="s">
        <v>27</v>
      </c>
      <c r="M203" s="1" t="s">
        <v>28</v>
      </c>
      <c r="N203">
        <v>4.4999999999999998E-2</v>
      </c>
      <c r="O203">
        <v>40907.07</v>
      </c>
    </row>
    <row r="204" spans="1:15" x14ac:dyDescent="0.3">
      <c r="A204" s="1" t="s">
        <v>242</v>
      </c>
      <c r="B204" s="1" t="s">
        <v>22</v>
      </c>
      <c r="C204" s="1" t="s">
        <v>18</v>
      </c>
      <c r="D204">
        <v>5</v>
      </c>
      <c r="E204">
        <v>4</v>
      </c>
      <c r="F204">
        <v>1682</v>
      </c>
      <c r="G204">
        <v>1465368</v>
      </c>
      <c r="H204">
        <v>1419699</v>
      </c>
      <c r="I204" s="2">
        <v>45291</v>
      </c>
      <c r="J204" s="2">
        <v>45353</v>
      </c>
      <c r="K204">
        <v>62</v>
      </c>
      <c r="L204" s="1" t="s">
        <v>19</v>
      </c>
      <c r="M204" s="1" t="s">
        <v>28</v>
      </c>
      <c r="N204">
        <v>4.4999999999999998E-2</v>
      </c>
      <c r="O204">
        <v>63886.45</v>
      </c>
    </row>
    <row r="205" spans="1:15" x14ac:dyDescent="0.3">
      <c r="A205" s="1" t="s">
        <v>243</v>
      </c>
      <c r="B205" s="1" t="s">
        <v>22</v>
      </c>
      <c r="C205" s="1" t="s">
        <v>23</v>
      </c>
      <c r="D205">
        <v>4</v>
      </c>
      <c r="E205">
        <v>1</v>
      </c>
      <c r="F205">
        <v>1425</v>
      </c>
      <c r="G205">
        <v>893135</v>
      </c>
      <c r="H205">
        <v>841602</v>
      </c>
      <c r="I205" s="2">
        <v>44995</v>
      </c>
      <c r="J205" s="2">
        <v>45022</v>
      </c>
      <c r="K205">
        <v>27</v>
      </c>
      <c r="L205" s="1" t="s">
        <v>30</v>
      </c>
      <c r="M205" s="1" t="s">
        <v>24</v>
      </c>
      <c r="N205">
        <v>0.04</v>
      </c>
      <c r="O205">
        <v>33664.080000000002</v>
      </c>
    </row>
    <row r="206" spans="1:15" x14ac:dyDescent="0.3">
      <c r="A206" s="1" t="s">
        <v>244</v>
      </c>
      <c r="B206" s="1" t="s">
        <v>41</v>
      </c>
      <c r="C206" s="1" t="s">
        <v>33</v>
      </c>
      <c r="D206">
        <v>1</v>
      </c>
      <c r="E206">
        <v>3</v>
      </c>
      <c r="F206">
        <v>2696</v>
      </c>
      <c r="G206">
        <v>907697</v>
      </c>
      <c r="H206">
        <v>884104</v>
      </c>
      <c r="I206" s="2">
        <v>45226</v>
      </c>
      <c r="J206" s="2">
        <v>45310</v>
      </c>
      <c r="K206">
        <v>84</v>
      </c>
      <c r="L206" s="1" t="s">
        <v>42</v>
      </c>
      <c r="M206" s="1" t="s">
        <v>28</v>
      </c>
      <c r="N206">
        <v>0.05</v>
      </c>
      <c r="O206">
        <v>44205.2</v>
      </c>
    </row>
    <row r="207" spans="1:15" x14ac:dyDescent="0.3">
      <c r="A207" s="1" t="s">
        <v>245</v>
      </c>
      <c r="B207" s="1" t="s">
        <v>59</v>
      </c>
      <c r="C207" s="1" t="s">
        <v>35</v>
      </c>
      <c r="D207">
        <v>2</v>
      </c>
      <c r="E207">
        <v>2</v>
      </c>
      <c r="F207">
        <v>1037</v>
      </c>
      <c r="G207">
        <v>1169179</v>
      </c>
      <c r="H207">
        <v>1135878</v>
      </c>
      <c r="I207" s="2">
        <v>45177</v>
      </c>
      <c r="J207" s="2">
        <v>45228</v>
      </c>
      <c r="K207">
        <v>51</v>
      </c>
      <c r="L207" s="1" t="s">
        <v>30</v>
      </c>
      <c r="M207" s="1" t="s">
        <v>20</v>
      </c>
      <c r="N207">
        <v>4.4999999999999998E-2</v>
      </c>
      <c r="O207">
        <v>51114.51</v>
      </c>
    </row>
    <row r="208" spans="1:15" x14ac:dyDescent="0.3">
      <c r="A208" s="1" t="s">
        <v>246</v>
      </c>
      <c r="B208" s="1" t="s">
        <v>59</v>
      </c>
      <c r="C208" s="1" t="s">
        <v>18</v>
      </c>
      <c r="D208">
        <v>1</v>
      </c>
      <c r="E208">
        <v>4</v>
      </c>
      <c r="F208">
        <v>881</v>
      </c>
      <c r="G208">
        <v>1743431</v>
      </c>
      <c r="H208">
        <v>1696481</v>
      </c>
      <c r="I208" s="2">
        <v>45561</v>
      </c>
      <c r="J208" s="2">
        <v>45641</v>
      </c>
      <c r="K208">
        <v>80</v>
      </c>
      <c r="L208" s="1" t="s">
        <v>42</v>
      </c>
      <c r="M208" s="1" t="s">
        <v>24</v>
      </c>
      <c r="N208">
        <v>0.05</v>
      </c>
      <c r="O208">
        <v>84824.05</v>
      </c>
    </row>
    <row r="209" spans="1:15" x14ac:dyDescent="0.3">
      <c r="A209" s="1" t="s">
        <v>247</v>
      </c>
      <c r="B209" s="1" t="s">
        <v>32</v>
      </c>
      <c r="C209" s="1" t="s">
        <v>35</v>
      </c>
      <c r="D209">
        <v>2</v>
      </c>
      <c r="E209">
        <v>2</v>
      </c>
      <c r="F209">
        <v>2001</v>
      </c>
      <c r="G209">
        <v>1568745</v>
      </c>
      <c r="H209">
        <v>1523836</v>
      </c>
      <c r="I209" s="2">
        <v>45578</v>
      </c>
      <c r="J209" s="2">
        <v>45588</v>
      </c>
      <c r="K209">
        <v>10</v>
      </c>
      <c r="L209" s="1" t="s">
        <v>30</v>
      </c>
      <c r="M209" s="1" t="s">
        <v>28</v>
      </c>
      <c r="N209">
        <v>0.04</v>
      </c>
      <c r="O209">
        <v>60953.440000000002</v>
      </c>
    </row>
    <row r="210" spans="1:15" x14ac:dyDescent="0.3">
      <c r="A210" s="1" t="s">
        <v>248</v>
      </c>
      <c r="B210" s="1" t="s">
        <v>41</v>
      </c>
      <c r="C210" s="1" t="s">
        <v>33</v>
      </c>
      <c r="D210">
        <v>1</v>
      </c>
      <c r="E210">
        <v>2</v>
      </c>
      <c r="F210">
        <v>994</v>
      </c>
      <c r="G210">
        <v>1082618</v>
      </c>
      <c r="H210">
        <v>1014607</v>
      </c>
      <c r="I210" s="2">
        <v>44990</v>
      </c>
      <c r="J210" s="2">
        <v>45024</v>
      </c>
      <c r="K210">
        <v>34</v>
      </c>
      <c r="L210" s="1" t="s">
        <v>30</v>
      </c>
      <c r="M210" s="1" t="s">
        <v>24</v>
      </c>
      <c r="N210">
        <v>0.04</v>
      </c>
      <c r="O210">
        <v>40584.28</v>
      </c>
    </row>
    <row r="211" spans="1:15" x14ac:dyDescent="0.3">
      <c r="A211" s="1" t="s">
        <v>249</v>
      </c>
      <c r="B211" s="1" t="s">
        <v>22</v>
      </c>
      <c r="C211" s="1" t="s">
        <v>23</v>
      </c>
      <c r="D211">
        <v>1</v>
      </c>
      <c r="E211">
        <v>4</v>
      </c>
      <c r="F211">
        <v>1178</v>
      </c>
      <c r="G211">
        <v>1045326</v>
      </c>
      <c r="H211">
        <v>990334</v>
      </c>
      <c r="I211" s="2">
        <v>45261</v>
      </c>
      <c r="J211" s="2">
        <v>45298</v>
      </c>
      <c r="K211">
        <v>37</v>
      </c>
      <c r="L211" s="1" t="s">
        <v>30</v>
      </c>
      <c r="M211" s="1" t="s">
        <v>20</v>
      </c>
      <c r="N211">
        <v>0.05</v>
      </c>
      <c r="O211">
        <v>49516.7</v>
      </c>
    </row>
    <row r="212" spans="1:15" x14ac:dyDescent="0.3">
      <c r="A212" s="1" t="s">
        <v>250</v>
      </c>
      <c r="B212" s="1" t="s">
        <v>32</v>
      </c>
      <c r="C212" s="1" t="s">
        <v>35</v>
      </c>
      <c r="D212">
        <v>5</v>
      </c>
      <c r="E212">
        <v>1</v>
      </c>
      <c r="F212">
        <v>3440</v>
      </c>
      <c r="G212">
        <v>1510840</v>
      </c>
      <c r="H212">
        <v>1445058</v>
      </c>
      <c r="I212" s="2">
        <v>45599</v>
      </c>
      <c r="J212" s="2">
        <v>45679</v>
      </c>
      <c r="K212">
        <v>80</v>
      </c>
      <c r="L212" s="1" t="s">
        <v>44</v>
      </c>
      <c r="M212" s="1" t="s">
        <v>24</v>
      </c>
      <c r="N212">
        <v>4.4999999999999998E-2</v>
      </c>
      <c r="O212">
        <v>65027.61</v>
      </c>
    </row>
    <row r="213" spans="1:15" x14ac:dyDescent="0.3">
      <c r="A213" s="1" t="s">
        <v>251</v>
      </c>
      <c r="B213" s="1" t="s">
        <v>37</v>
      </c>
      <c r="C213" s="1" t="s">
        <v>33</v>
      </c>
      <c r="D213">
        <v>1</v>
      </c>
      <c r="E213">
        <v>4</v>
      </c>
      <c r="F213">
        <v>1660</v>
      </c>
      <c r="G213">
        <v>1238259</v>
      </c>
      <c r="H213">
        <v>1174449</v>
      </c>
      <c r="I213" s="2">
        <v>45025</v>
      </c>
      <c r="J213" s="2">
        <v>45078</v>
      </c>
      <c r="K213">
        <v>53</v>
      </c>
      <c r="L213" s="1" t="s">
        <v>19</v>
      </c>
      <c r="M213" s="1" t="s">
        <v>20</v>
      </c>
      <c r="N213">
        <v>0.05</v>
      </c>
      <c r="O213">
        <v>58722.45</v>
      </c>
    </row>
    <row r="214" spans="1:15" x14ac:dyDescent="0.3">
      <c r="A214" s="1" t="s">
        <v>252</v>
      </c>
      <c r="B214" s="1" t="s">
        <v>37</v>
      </c>
      <c r="C214" s="1" t="s">
        <v>35</v>
      </c>
      <c r="D214">
        <v>5</v>
      </c>
      <c r="E214">
        <v>4</v>
      </c>
      <c r="F214">
        <v>617</v>
      </c>
      <c r="G214">
        <v>1153531</v>
      </c>
      <c r="H214">
        <v>1122862</v>
      </c>
      <c r="I214" s="2">
        <v>45554</v>
      </c>
      <c r="J214" s="2">
        <v>45627</v>
      </c>
      <c r="K214">
        <v>73</v>
      </c>
      <c r="L214" s="1" t="s">
        <v>27</v>
      </c>
      <c r="M214" s="1" t="s">
        <v>28</v>
      </c>
      <c r="N214">
        <v>0.04</v>
      </c>
      <c r="O214">
        <v>44914.48</v>
      </c>
    </row>
    <row r="215" spans="1:15" x14ac:dyDescent="0.3">
      <c r="A215" s="1" t="s">
        <v>253</v>
      </c>
      <c r="B215" s="1" t="s">
        <v>32</v>
      </c>
      <c r="C215" s="1" t="s">
        <v>18</v>
      </c>
      <c r="D215">
        <v>5</v>
      </c>
      <c r="E215">
        <v>3</v>
      </c>
      <c r="F215">
        <v>2847</v>
      </c>
      <c r="G215">
        <v>1035454</v>
      </c>
      <c r="H215">
        <v>960268</v>
      </c>
      <c r="I215" s="2">
        <v>45285</v>
      </c>
      <c r="J215" s="2">
        <v>45299</v>
      </c>
      <c r="K215">
        <v>14</v>
      </c>
      <c r="L215" s="1" t="s">
        <v>51</v>
      </c>
      <c r="M215" s="1" t="s">
        <v>20</v>
      </c>
      <c r="N215">
        <v>0.04</v>
      </c>
      <c r="O215">
        <v>38410.720000000001</v>
      </c>
    </row>
    <row r="216" spans="1:15" x14ac:dyDescent="0.3">
      <c r="A216" s="1" t="s">
        <v>254</v>
      </c>
      <c r="B216" s="1" t="s">
        <v>22</v>
      </c>
      <c r="C216" s="1" t="s">
        <v>23</v>
      </c>
      <c r="D216">
        <v>1</v>
      </c>
      <c r="E216">
        <v>1</v>
      </c>
      <c r="F216">
        <v>1939</v>
      </c>
      <c r="G216">
        <v>691894</v>
      </c>
      <c r="H216">
        <v>635610</v>
      </c>
      <c r="I216" s="2">
        <v>45020</v>
      </c>
      <c r="J216" s="2">
        <v>45107</v>
      </c>
      <c r="K216">
        <v>87</v>
      </c>
      <c r="L216" s="1" t="s">
        <v>39</v>
      </c>
      <c r="M216" s="1" t="s">
        <v>24</v>
      </c>
      <c r="N216">
        <v>0.04</v>
      </c>
      <c r="O216">
        <v>25424.400000000001</v>
      </c>
    </row>
    <row r="217" spans="1:15" x14ac:dyDescent="0.3">
      <c r="A217" s="1" t="s">
        <v>255</v>
      </c>
      <c r="B217" s="1" t="s">
        <v>32</v>
      </c>
      <c r="C217" s="1" t="s">
        <v>23</v>
      </c>
      <c r="D217">
        <v>3</v>
      </c>
      <c r="E217">
        <v>2</v>
      </c>
      <c r="F217">
        <v>706</v>
      </c>
      <c r="G217">
        <v>854234</v>
      </c>
      <c r="H217">
        <v>804433</v>
      </c>
      <c r="I217" s="2">
        <v>45046</v>
      </c>
      <c r="J217" s="2">
        <v>45060</v>
      </c>
      <c r="K217">
        <v>14</v>
      </c>
      <c r="L217" s="1" t="s">
        <v>53</v>
      </c>
      <c r="M217" s="1" t="s">
        <v>28</v>
      </c>
      <c r="N217">
        <v>0.04</v>
      </c>
      <c r="O217">
        <v>32177.32</v>
      </c>
    </row>
    <row r="218" spans="1:15" x14ac:dyDescent="0.3">
      <c r="A218" s="1" t="s">
        <v>256</v>
      </c>
      <c r="B218" s="1" t="s">
        <v>37</v>
      </c>
      <c r="C218" s="1" t="s">
        <v>18</v>
      </c>
      <c r="D218">
        <v>2</v>
      </c>
      <c r="E218">
        <v>4</v>
      </c>
      <c r="F218">
        <v>3297</v>
      </c>
      <c r="G218">
        <v>607232</v>
      </c>
      <c r="H218">
        <v>528803</v>
      </c>
      <c r="I218" s="2">
        <v>45236</v>
      </c>
      <c r="J218" s="2">
        <v>45243</v>
      </c>
      <c r="K218">
        <v>7</v>
      </c>
      <c r="L218" s="1" t="s">
        <v>53</v>
      </c>
      <c r="M218" s="1" t="s">
        <v>28</v>
      </c>
      <c r="N218">
        <v>0.04</v>
      </c>
      <c r="O218">
        <v>21152.12</v>
      </c>
    </row>
    <row r="219" spans="1:15" x14ac:dyDescent="0.3">
      <c r="A219" s="1" t="s">
        <v>257</v>
      </c>
      <c r="B219" s="1" t="s">
        <v>59</v>
      </c>
      <c r="C219" s="1" t="s">
        <v>18</v>
      </c>
      <c r="D219">
        <v>3</v>
      </c>
      <c r="E219">
        <v>4</v>
      </c>
      <c r="F219">
        <v>1193</v>
      </c>
      <c r="G219">
        <v>1614219</v>
      </c>
      <c r="H219">
        <v>1567904</v>
      </c>
      <c r="I219" s="2">
        <v>44961</v>
      </c>
      <c r="J219" s="2">
        <v>45012</v>
      </c>
      <c r="K219">
        <v>51</v>
      </c>
      <c r="L219" s="1" t="s">
        <v>53</v>
      </c>
      <c r="M219" s="1" t="s">
        <v>20</v>
      </c>
      <c r="N219">
        <v>4.4999999999999998E-2</v>
      </c>
      <c r="O219">
        <v>70555.679999999993</v>
      </c>
    </row>
    <row r="220" spans="1:15" x14ac:dyDescent="0.3">
      <c r="A220" s="1" t="s">
        <v>258</v>
      </c>
      <c r="B220" s="1" t="s">
        <v>41</v>
      </c>
      <c r="C220" s="1" t="s">
        <v>18</v>
      </c>
      <c r="D220">
        <v>5</v>
      </c>
      <c r="E220">
        <v>2</v>
      </c>
      <c r="F220">
        <v>2226</v>
      </c>
      <c r="G220">
        <v>1534022</v>
      </c>
      <c r="H220">
        <v>1528207</v>
      </c>
      <c r="I220" s="2">
        <v>45594</v>
      </c>
      <c r="J220" s="2">
        <v>45599</v>
      </c>
      <c r="K220">
        <v>5</v>
      </c>
      <c r="L220" s="1" t="s">
        <v>53</v>
      </c>
      <c r="M220" s="1" t="s">
        <v>20</v>
      </c>
      <c r="N220">
        <v>0.04</v>
      </c>
      <c r="O220">
        <v>61128.28</v>
      </c>
    </row>
    <row r="221" spans="1:15" x14ac:dyDescent="0.3">
      <c r="A221" s="1" t="s">
        <v>259</v>
      </c>
      <c r="B221" s="1" t="s">
        <v>59</v>
      </c>
      <c r="C221" s="1" t="s">
        <v>35</v>
      </c>
      <c r="D221">
        <v>1</v>
      </c>
      <c r="E221">
        <v>4</v>
      </c>
      <c r="F221">
        <v>578</v>
      </c>
      <c r="G221">
        <v>925567</v>
      </c>
      <c r="H221">
        <v>866261</v>
      </c>
      <c r="I221" s="2">
        <v>45599</v>
      </c>
      <c r="J221" s="2">
        <v>45663</v>
      </c>
      <c r="K221">
        <v>64</v>
      </c>
      <c r="L221" s="1" t="s">
        <v>42</v>
      </c>
      <c r="M221" s="1" t="s">
        <v>20</v>
      </c>
      <c r="N221">
        <v>4.4999999999999998E-2</v>
      </c>
      <c r="O221">
        <v>38981.74</v>
      </c>
    </row>
    <row r="222" spans="1:15" x14ac:dyDescent="0.3">
      <c r="A222" s="1" t="s">
        <v>260</v>
      </c>
      <c r="B222" s="1" t="s">
        <v>17</v>
      </c>
      <c r="C222" s="1" t="s">
        <v>38</v>
      </c>
      <c r="D222">
        <v>5</v>
      </c>
      <c r="E222">
        <v>3</v>
      </c>
      <c r="F222">
        <v>3303</v>
      </c>
      <c r="G222">
        <v>1131883</v>
      </c>
      <c r="H222">
        <v>1121418</v>
      </c>
      <c r="I222" s="2">
        <v>45080</v>
      </c>
      <c r="J222" s="2">
        <v>45087</v>
      </c>
      <c r="K222">
        <v>7</v>
      </c>
      <c r="L222" s="1" t="s">
        <v>19</v>
      </c>
      <c r="M222" s="1" t="s">
        <v>24</v>
      </c>
      <c r="N222">
        <v>0.04</v>
      </c>
      <c r="O222">
        <v>44856.72</v>
      </c>
    </row>
    <row r="223" spans="1:15" x14ac:dyDescent="0.3">
      <c r="A223" s="1" t="s">
        <v>261</v>
      </c>
      <c r="B223" s="1" t="s">
        <v>59</v>
      </c>
      <c r="C223" s="1" t="s">
        <v>23</v>
      </c>
      <c r="D223">
        <v>3</v>
      </c>
      <c r="E223">
        <v>4</v>
      </c>
      <c r="F223">
        <v>2238</v>
      </c>
      <c r="G223">
        <v>798529</v>
      </c>
      <c r="H223">
        <v>734466</v>
      </c>
      <c r="I223" s="2">
        <v>45469</v>
      </c>
      <c r="J223" s="2">
        <v>45540</v>
      </c>
      <c r="K223">
        <v>71</v>
      </c>
      <c r="L223" s="1" t="s">
        <v>39</v>
      </c>
      <c r="M223" s="1" t="s">
        <v>24</v>
      </c>
      <c r="N223">
        <v>4.4999999999999998E-2</v>
      </c>
      <c r="O223">
        <v>33050.97</v>
      </c>
    </row>
    <row r="224" spans="1:15" x14ac:dyDescent="0.3">
      <c r="A224" s="1" t="s">
        <v>262</v>
      </c>
      <c r="B224" s="1" t="s">
        <v>41</v>
      </c>
      <c r="C224" s="1" t="s">
        <v>38</v>
      </c>
      <c r="D224">
        <v>4</v>
      </c>
      <c r="E224">
        <v>4</v>
      </c>
      <c r="F224">
        <v>2612</v>
      </c>
      <c r="G224">
        <v>727983</v>
      </c>
      <c r="H224">
        <v>717201</v>
      </c>
      <c r="I224" s="2">
        <v>45232</v>
      </c>
      <c r="J224" s="2">
        <v>45310</v>
      </c>
      <c r="K224">
        <v>78</v>
      </c>
      <c r="L224" s="1" t="s">
        <v>42</v>
      </c>
      <c r="M224" s="1" t="s">
        <v>20</v>
      </c>
      <c r="N224">
        <v>4.4999999999999998E-2</v>
      </c>
      <c r="O224">
        <v>32274.04</v>
      </c>
    </row>
    <row r="225" spans="1:15" x14ac:dyDescent="0.3">
      <c r="A225" s="1" t="s">
        <v>263</v>
      </c>
      <c r="B225" s="1" t="s">
        <v>37</v>
      </c>
      <c r="C225" s="1" t="s">
        <v>33</v>
      </c>
      <c r="D225">
        <v>5</v>
      </c>
      <c r="E225">
        <v>3</v>
      </c>
      <c r="F225">
        <v>1107</v>
      </c>
      <c r="G225">
        <v>377084</v>
      </c>
      <c r="H225">
        <v>326286</v>
      </c>
      <c r="I225" s="2">
        <v>45016</v>
      </c>
      <c r="J225" s="2">
        <v>45088</v>
      </c>
      <c r="K225">
        <v>72</v>
      </c>
      <c r="L225" s="1" t="s">
        <v>44</v>
      </c>
      <c r="M225" s="1" t="s">
        <v>20</v>
      </c>
      <c r="N225">
        <v>0.05</v>
      </c>
      <c r="O225">
        <v>16314.3</v>
      </c>
    </row>
    <row r="226" spans="1:15" x14ac:dyDescent="0.3">
      <c r="A226" s="1" t="s">
        <v>264</v>
      </c>
      <c r="B226" s="1" t="s">
        <v>37</v>
      </c>
      <c r="C226" s="1" t="s">
        <v>23</v>
      </c>
      <c r="D226">
        <v>2</v>
      </c>
      <c r="E226">
        <v>3</v>
      </c>
      <c r="F226">
        <v>1394</v>
      </c>
      <c r="G226">
        <v>1511127</v>
      </c>
      <c r="H226">
        <v>1471239</v>
      </c>
      <c r="I226" s="2">
        <v>45088</v>
      </c>
      <c r="J226" s="2">
        <v>45110</v>
      </c>
      <c r="K226">
        <v>22</v>
      </c>
      <c r="L226" s="1" t="s">
        <v>51</v>
      </c>
      <c r="M226" s="1" t="s">
        <v>28</v>
      </c>
      <c r="N226">
        <v>0.04</v>
      </c>
      <c r="O226">
        <v>58849.56</v>
      </c>
    </row>
    <row r="227" spans="1:15" x14ac:dyDescent="0.3">
      <c r="A227" s="1" t="s">
        <v>265</v>
      </c>
      <c r="B227" s="1" t="s">
        <v>32</v>
      </c>
      <c r="C227" s="1" t="s">
        <v>23</v>
      </c>
      <c r="D227">
        <v>3</v>
      </c>
      <c r="E227">
        <v>2</v>
      </c>
      <c r="F227">
        <v>2061</v>
      </c>
      <c r="G227">
        <v>490440</v>
      </c>
      <c r="H227">
        <v>424622</v>
      </c>
      <c r="I227" s="2">
        <v>45407</v>
      </c>
      <c r="J227" s="2">
        <v>45425</v>
      </c>
      <c r="K227">
        <v>18</v>
      </c>
      <c r="L227" s="1" t="s">
        <v>19</v>
      </c>
      <c r="M227" s="1" t="s">
        <v>20</v>
      </c>
      <c r="N227">
        <v>4.4999999999999998E-2</v>
      </c>
      <c r="O227">
        <v>19107.990000000002</v>
      </c>
    </row>
    <row r="228" spans="1:15" x14ac:dyDescent="0.3">
      <c r="A228" s="1" t="s">
        <v>266</v>
      </c>
      <c r="B228" s="1" t="s">
        <v>26</v>
      </c>
      <c r="C228" s="1" t="s">
        <v>38</v>
      </c>
      <c r="D228">
        <v>5</v>
      </c>
      <c r="E228">
        <v>2</v>
      </c>
      <c r="F228">
        <v>2434</v>
      </c>
      <c r="G228">
        <v>1709760</v>
      </c>
      <c r="H228">
        <v>1655680</v>
      </c>
      <c r="I228" s="2">
        <v>45267</v>
      </c>
      <c r="J228" s="2">
        <v>45306</v>
      </c>
      <c r="K228">
        <v>39</v>
      </c>
      <c r="L228" s="1" t="s">
        <v>44</v>
      </c>
      <c r="M228" s="1" t="s">
        <v>28</v>
      </c>
      <c r="N228">
        <v>4.4999999999999998E-2</v>
      </c>
      <c r="O228">
        <v>74505.600000000006</v>
      </c>
    </row>
    <row r="229" spans="1:15" x14ac:dyDescent="0.3">
      <c r="A229" s="1" t="s">
        <v>267</v>
      </c>
      <c r="B229" s="1" t="s">
        <v>37</v>
      </c>
      <c r="C229" s="1" t="s">
        <v>33</v>
      </c>
      <c r="D229">
        <v>1</v>
      </c>
      <c r="E229">
        <v>1</v>
      </c>
      <c r="F229">
        <v>2298</v>
      </c>
      <c r="G229">
        <v>631273</v>
      </c>
      <c r="H229">
        <v>621451</v>
      </c>
      <c r="I229" s="2">
        <v>45113</v>
      </c>
      <c r="J229" s="2">
        <v>45157</v>
      </c>
      <c r="K229">
        <v>44</v>
      </c>
      <c r="L229" s="1" t="s">
        <v>39</v>
      </c>
      <c r="M229" s="1" t="s">
        <v>28</v>
      </c>
      <c r="N229">
        <v>4.4999999999999998E-2</v>
      </c>
      <c r="O229">
        <v>27965.29</v>
      </c>
    </row>
    <row r="230" spans="1:15" x14ac:dyDescent="0.3">
      <c r="A230" s="1" t="s">
        <v>268</v>
      </c>
      <c r="B230" s="1" t="s">
        <v>37</v>
      </c>
      <c r="C230" s="1" t="s">
        <v>38</v>
      </c>
      <c r="D230">
        <v>4</v>
      </c>
      <c r="E230">
        <v>3</v>
      </c>
      <c r="F230">
        <v>2715</v>
      </c>
      <c r="G230">
        <v>852821</v>
      </c>
      <c r="H230">
        <v>844633</v>
      </c>
      <c r="I230" s="2">
        <v>45015</v>
      </c>
      <c r="J230" s="2">
        <v>45022</v>
      </c>
      <c r="K230">
        <v>7</v>
      </c>
      <c r="L230" s="1" t="s">
        <v>27</v>
      </c>
      <c r="M230" s="1" t="s">
        <v>24</v>
      </c>
      <c r="N230">
        <v>0.04</v>
      </c>
      <c r="O230">
        <v>33785.32</v>
      </c>
    </row>
    <row r="231" spans="1:15" x14ac:dyDescent="0.3">
      <c r="A231" s="1" t="s">
        <v>269</v>
      </c>
      <c r="B231" s="1" t="s">
        <v>59</v>
      </c>
      <c r="C231" s="1" t="s">
        <v>35</v>
      </c>
      <c r="D231">
        <v>3</v>
      </c>
      <c r="E231">
        <v>2</v>
      </c>
      <c r="F231">
        <v>3258</v>
      </c>
      <c r="G231">
        <v>1072550</v>
      </c>
      <c r="H231">
        <v>1032734</v>
      </c>
      <c r="I231" s="2">
        <v>45016</v>
      </c>
      <c r="J231" s="2">
        <v>45075</v>
      </c>
      <c r="K231">
        <v>59</v>
      </c>
      <c r="L231" s="1" t="s">
        <v>53</v>
      </c>
      <c r="M231" s="1" t="s">
        <v>28</v>
      </c>
      <c r="N231">
        <v>0.05</v>
      </c>
      <c r="O231">
        <v>51636.7</v>
      </c>
    </row>
    <row r="232" spans="1:15" x14ac:dyDescent="0.3">
      <c r="A232" s="1" t="s">
        <v>270</v>
      </c>
      <c r="B232" s="1" t="s">
        <v>26</v>
      </c>
      <c r="C232" s="1" t="s">
        <v>38</v>
      </c>
      <c r="D232">
        <v>5</v>
      </c>
      <c r="E232">
        <v>1</v>
      </c>
      <c r="F232">
        <v>1418</v>
      </c>
      <c r="G232">
        <v>1386311</v>
      </c>
      <c r="H232">
        <v>1352390</v>
      </c>
      <c r="I232" s="2">
        <v>45190</v>
      </c>
      <c r="J232" s="2">
        <v>45211</v>
      </c>
      <c r="K232">
        <v>21</v>
      </c>
      <c r="L232" s="1" t="s">
        <v>42</v>
      </c>
      <c r="M232" s="1" t="s">
        <v>20</v>
      </c>
      <c r="N232">
        <v>0.04</v>
      </c>
      <c r="O232">
        <v>54095.6</v>
      </c>
    </row>
    <row r="233" spans="1:15" x14ac:dyDescent="0.3">
      <c r="A233" s="1" t="s">
        <v>271</v>
      </c>
      <c r="B233" s="1" t="s">
        <v>22</v>
      </c>
      <c r="C233" s="1" t="s">
        <v>38</v>
      </c>
      <c r="D233">
        <v>5</v>
      </c>
      <c r="E233">
        <v>1</v>
      </c>
      <c r="F233">
        <v>825</v>
      </c>
      <c r="G233">
        <v>731490</v>
      </c>
      <c r="H233">
        <v>697553</v>
      </c>
      <c r="I233" s="2">
        <v>45481</v>
      </c>
      <c r="J233" s="2">
        <v>45503</v>
      </c>
      <c r="K233">
        <v>22</v>
      </c>
      <c r="L233" s="1" t="s">
        <v>39</v>
      </c>
      <c r="M233" s="1" t="s">
        <v>24</v>
      </c>
      <c r="N233">
        <v>0.05</v>
      </c>
      <c r="O233">
        <v>34877.65</v>
      </c>
    </row>
    <row r="234" spans="1:15" x14ac:dyDescent="0.3">
      <c r="A234" s="1" t="s">
        <v>272</v>
      </c>
      <c r="B234" s="1" t="s">
        <v>17</v>
      </c>
      <c r="C234" s="1" t="s">
        <v>33</v>
      </c>
      <c r="D234">
        <v>3</v>
      </c>
      <c r="E234">
        <v>3</v>
      </c>
      <c r="F234">
        <v>928</v>
      </c>
      <c r="G234">
        <v>489206</v>
      </c>
      <c r="H234">
        <v>444606</v>
      </c>
      <c r="I234" s="2">
        <v>45201</v>
      </c>
      <c r="J234" s="2">
        <v>45224</v>
      </c>
      <c r="K234">
        <v>23</v>
      </c>
      <c r="L234" s="1" t="s">
        <v>44</v>
      </c>
      <c r="M234" s="1" t="s">
        <v>20</v>
      </c>
      <c r="N234">
        <v>0.04</v>
      </c>
      <c r="O234">
        <v>17784.240000000002</v>
      </c>
    </row>
    <row r="235" spans="1:15" x14ac:dyDescent="0.3">
      <c r="A235" s="1" t="s">
        <v>273</v>
      </c>
      <c r="B235" s="1" t="s">
        <v>48</v>
      </c>
      <c r="C235" s="1" t="s">
        <v>23</v>
      </c>
      <c r="D235">
        <v>3</v>
      </c>
      <c r="E235">
        <v>1</v>
      </c>
      <c r="F235">
        <v>3073</v>
      </c>
      <c r="G235">
        <v>1443117</v>
      </c>
      <c r="H235">
        <v>1407141</v>
      </c>
      <c r="I235" s="2">
        <v>45381</v>
      </c>
      <c r="J235" s="2">
        <v>45414</v>
      </c>
      <c r="K235">
        <v>33</v>
      </c>
      <c r="L235" s="1" t="s">
        <v>30</v>
      </c>
      <c r="M235" s="1" t="s">
        <v>20</v>
      </c>
      <c r="N235">
        <v>0.05</v>
      </c>
      <c r="O235">
        <v>70357.05</v>
      </c>
    </row>
    <row r="236" spans="1:15" x14ac:dyDescent="0.3">
      <c r="A236" s="1" t="s">
        <v>274</v>
      </c>
      <c r="B236" s="1" t="s">
        <v>48</v>
      </c>
      <c r="C236" s="1" t="s">
        <v>33</v>
      </c>
      <c r="D236">
        <v>2</v>
      </c>
      <c r="E236">
        <v>1</v>
      </c>
      <c r="F236">
        <v>2510</v>
      </c>
      <c r="G236">
        <v>958453</v>
      </c>
      <c r="H236">
        <v>900736</v>
      </c>
      <c r="I236" s="2">
        <v>45138</v>
      </c>
      <c r="J236" s="2">
        <v>45220</v>
      </c>
      <c r="K236">
        <v>82</v>
      </c>
      <c r="L236" s="1" t="s">
        <v>42</v>
      </c>
      <c r="M236" s="1" t="s">
        <v>24</v>
      </c>
      <c r="N236">
        <v>0.04</v>
      </c>
      <c r="O236">
        <v>36029.440000000002</v>
      </c>
    </row>
    <row r="237" spans="1:15" x14ac:dyDescent="0.3">
      <c r="A237" s="1" t="s">
        <v>275</v>
      </c>
      <c r="B237" s="1" t="s">
        <v>17</v>
      </c>
      <c r="C237" s="1" t="s">
        <v>38</v>
      </c>
      <c r="D237">
        <v>4</v>
      </c>
      <c r="E237">
        <v>4</v>
      </c>
      <c r="F237">
        <v>1767</v>
      </c>
      <c r="G237">
        <v>1377631</v>
      </c>
      <c r="H237">
        <v>1370537</v>
      </c>
      <c r="I237" s="2">
        <v>45365</v>
      </c>
      <c r="J237" s="2">
        <v>45410</v>
      </c>
      <c r="K237">
        <v>45</v>
      </c>
      <c r="L237" s="1" t="s">
        <v>51</v>
      </c>
      <c r="M237" s="1" t="s">
        <v>20</v>
      </c>
      <c r="N237">
        <v>0.05</v>
      </c>
      <c r="O237">
        <v>68526.850000000006</v>
      </c>
    </row>
    <row r="238" spans="1:15" x14ac:dyDescent="0.3">
      <c r="A238" s="1" t="s">
        <v>276</v>
      </c>
      <c r="B238" s="1" t="s">
        <v>48</v>
      </c>
      <c r="C238" s="1" t="s">
        <v>18</v>
      </c>
      <c r="D238">
        <v>5</v>
      </c>
      <c r="E238">
        <v>1</v>
      </c>
      <c r="F238">
        <v>1396</v>
      </c>
      <c r="G238">
        <v>550070</v>
      </c>
      <c r="H238">
        <v>521528</v>
      </c>
      <c r="I238" s="2">
        <v>45405</v>
      </c>
      <c r="J238" s="2">
        <v>45458</v>
      </c>
      <c r="K238">
        <v>53</v>
      </c>
      <c r="L238" s="1" t="s">
        <v>51</v>
      </c>
      <c r="M238" s="1" t="s">
        <v>28</v>
      </c>
      <c r="N238">
        <v>0.04</v>
      </c>
      <c r="O238">
        <v>20861.12</v>
      </c>
    </row>
    <row r="239" spans="1:15" x14ac:dyDescent="0.3">
      <c r="A239" s="1" t="s">
        <v>277</v>
      </c>
      <c r="B239" s="1" t="s">
        <v>37</v>
      </c>
      <c r="C239" s="1" t="s">
        <v>38</v>
      </c>
      <c r="D239">
        <v>1</v>
      </c>
      <c r="E239">
        <v>1</v>
      </c>
      <c r="F239">
        <v>2177</v>
      </c>
      <c r="G239">
        <v>1050603</v>
      </c>
      <c r="H239">
        <v>1005058</v>
      </c>
      <c r="I239" s="2">
        <v>45619</v>
      </c>
      <c r="J239" s="2">
        <v>45677</v>
      </c>
      <c r="K239">
        <v>58</v>
      </c>
      <c r="L239" s="1" t="s">
        <v>53</v>
      </c>
      <c r="M239" s="1" t="s">
        <v>28</v>
      </c>
      <c r="N239">
        <v>0.05</v>
      </c>
      <c r="O239">
        <v>50252.9</v>
      </c>
    </row>
    <row r="240" spans="1:15" x14ac:dyDescent="0.3">
      <c r="A240" s="1" t="s">
        <v>278</v>
      </c>
      <c r="B240" s="1" t="s">
        <v>37</v>
      </c>
      <c r="C240" s="1" t="s">
        <v>38</v>
      </c>
      <c r="D240">
        <v>2</v>
      </c>
      <c r="E240">
        <v>3</v>
      </c>
      <c r="F240">
        <v>685</v>
      </c>
      <c r="G240">
        <v>417101</v>
      </c>
      <c r="H240">
        <v>402420</v>
      </c>
      <c r="I240" s="2">
        <v>45300</v>
      </c>
      <c r="J240" s="2">
        <v>45376</v>
      </c>
      <c r="K240">
        <v>76</v>
      </c>
      <c r="L240" s="1" t="s">
        <v>53</v>
      </c>
      <c r="M240" s="1" t="s">
        <v>24</v>
      </c>
      <c r="N240">
        <v>0.05</v>
      </c>
      <c r="O240">
        <v>20121</v>
      </c>
    </row>
    <row r="241" spans="1:15" x14ac:dyDescent="0.3">
      <c r="A241" s="1" t="s">
        <v>279</v>
      </c>
      <c r="B241" s="1" t="s">
        <v>26</v>
      </c>
      <c r="C241" s="1" t="s">
        <v>35</v>
      </c>
      <c r="D241">
        <v>5</v>
      </c>
      <c r="E241">
        <v>2</v>
      </c>
      <c r="F241">
        <v>890</v>
      </c>
      <c r="G241">
        <v>655806</v>
      </c>
      <c r="H241">
        <v>636069</v>
      </c>
      <c r="I241" s="2">
        <v>45460</v>
      </c>
      <c r="J241" s="2">
        <v>45491</v>
      </c>
      <c r="K241">
        <v>31</v>
      </c>
      <c r="L241" s="1" t="s">
        <v>27</v>
      </c>
      <c r="M241" s="1" t="s">
        <v>24</v>
      </c>
      <c r="N241">
        <v>0.04</v>
      </c>
      <c r="O241">
        <v>25442.76</v>
      </c>
    </row>
    <row r="242" spans="1:15" x14ac:dyDescent="0.3">
      <c r="A242" s="1" t="s">
        <v>280</v>
      </c>
      <c r="B242" s="1" t="s">
        <v>32</v>
      </c>
      <c r="C242" s="1" t="s">
        <v>18</v>
      </c>
      <c r="D242">
        <v>3</v>
      </c>
      <c r="E242">
        <v>1</v>
      </c>
      <c r="F242">
        <v>605</v>
      </c>
      <c r="G242">
        <v>1195831</v>
      </c>
      <c r="H242">
        <v>1158235</v>
      </c>
      <c r="I242" s="2">
        <v>45205</v>
      </c>
      <c r="J242" s="2">
        <v>45229</v>
      </c>
      <c r="K242">
        <v>24</v>
      </c>
      <c r="L242" s="1" t="s">
        <v>44</v>
      </c>
      <c r="M242" s="1" t="s">
        <v>24</v>
      </c>
      <c r="N242">
        <v>0.05</v>
      </c>
      <c r="O242">
        <v>57911.75</v>
      </c>
    </row>
    <row r="243" spans="1:15" x14ac:dyDescent="0.3">
      <c r="A243" s="1" t="s">
        <v>281</v>
      </c>
      <c r="B243" s="1" t="s">
        <v>41</v>
      </c>
      <c r="C243" s="1" t="s">
        <v>35</v>
      </c>
      <c r="D243">
        <v>1</v>
      </c>
      <c r="E243">
        <v>4</v>
      </c>
      <c r="F243">
        <v>1486</v>
      </c>
      <c r="G243">
        <v>388956</v>
      </c>
      <c r="H243">
        <v>321085</v>
      </c>
      <c r="I243" s="2">
        <v>45256</v>
      </c>
      <c r="J243" s="2">
        <v>45267</v>
      </c>
      <c r="K243">
        <v>11</v>
      </c>
      <c r="L243" s="1" t="s">
        <v>44</v>
      </c>
      <c r="M243" s="1" t="s">
        <v>20</v>
      </c>
      <c r="N243">
        <v>4.4999999999999998E-2</v>
      </c>
      <c r="O243">
        <v>14448.82</v>
      </c>
    </row>
    <row r="244" spans="1:15" x14ac:dyDescent="0.3">
      <c r="A244" s="1" t="s">
        <v>282</v>
      </c>
      <c r="B244" s="1" t="s">
        <v>17</v>
      </c>
      <c r="C244" s="1" t="s">
        <v>23</v>
      </c>
      <c r="D244">
        <v>2</v>
      </c>
      <c r="E244">
        <v>2</v>
      </c>
      <c r="F244">
        <v>505</v>
      </c>
      <c r="G244">
        <v>1056270</v>
      </c>
      <c r="H244">
        <v>983647</v>
      </c>
      <c r="I244" s="2">
        <v>45577</v>
      </c>
      <c r="J244" s="2">
        <v>45655</v>
      </c>
      <c r="K244">
        <v>78</v>
      </c>
      <c r="L244" s="1" t="s">
        <v>44</v>
      </c>
      <c r="M244" s="1" t="s">
        <v>24</v>
      </c>
      <c r="N244">
        <v>4.4999999999999998E-2</v>
      </c>
      <c r="O244">
        <v>44264.11</v>
      </c>
    </row>
    <row r="245" spans="1:15" x14ac:dyDescent="0.3">
      <c r="A245" s="1" t="s">
        <v>283</v>
      </c>
      <c r="B245" s="1" t="s">
        <v>17</v>
      </c>
      <c r="C245" s="1" t="s">
        <v>23</v>
      </c>
      <c r="D245">
        <v>1</v>
      </c>
      <c r="E245">
        <v>4</v>
      </c>
      <c r="F245">
        <v>693</v>
      </c>
      <c r="G245">
        <v>1021812</v>
      </c>
      <c r="H245">
        <v>1011772</v>
      </c>
      <c r="I245" s="2">
        <v>45022</v>
      </c>
      <c r="J245" s="2">
        <v>45087</v>
      </c>
      <c r="K245">
        <v>65</v>
      </c>
      <c r="L245" s="1" t="s">
        <v>39</v>
      </c>
      <c r="M245" s="1" t="s">
        <v>28</v>
      </c>
      <c r="N245">
        <v>0.05</v>
      </c>
      <c r="O245">
        <v>50588.6</v>
      </c>
    </row>
    <row r="246" spans="1:15" x14ac:dyDescent="0.3">
      <c r="A246" s="1" t="s">
        <v>284</v>
      </c>
      <c r="B246" s="1" t="s">
        <v>48</v>
      </c>
      <c r="C246" s="1" t="s">
        <v>38</v>
      </c>
      <c r="D246">
        <v>1</v>
      </c>
      <c r="E246">
        <v>4</v>
      </c>
      <c r="F246">
        <v>2034</v>
      </c>
      <c r="G246">
        <v>1610267</v>
      </c>
      <c r="H246">
        <v>1590807</v>
      </c>
      <c r="I246" s="2">
        <v>45228</v>
      </c>
      <c r="J246" s="2">
        <v>45318</v>
      </c>
      <c r="K246">
        <v>90</v>
      </c>
      <c r="L246" s="1" t="s">
        <v>53</v>
      </c>
      <c r="M246" s="1" t="s">
        <v>28</v>
      </c>
      <c r="N246">
        <v>0.05</v>
      </c>
      <c r="O246">
        <v>79540.350000000006</v>
      </c>
    </row>
    <row r="247" spans="1:15" x14ac:dyDescent="0.3">
      <c r="A247" s="1" t="s">
        <v>285</v>
      </c>
      <c r="B247" s="1" t="s">
        <v>17</v>
      </c>
      <c r="C247" s="1" t="s">
        <v>18</v>
      </c>
      <c r="D247">
        <v>5</v>
      </c>
      <c r="E247">
        <v>1</v>
      </c>
      <c r="F247">
        <v>1347</v>
      </c>
      <c r="G247">
        <v>1511008</v>
      </c>
      <c r="H247">
        <v>1504515</v>
      </c>
      <c r="I247" s="2">
        <v>44938</v>
      </c>
      <c r="J247" s="2">
        <v>44998</v>
      </c>
      <c r="K247">
        <v>60</v>
      </c>
      <c r="L247" s="1" t="s">
        <v>51</v>
      </c>
      <c r="M247" s="1" t="s">
        <v>20</v>
      </c>
      <c r="N247">
        <v>4.4999999999999998E-2</v>
      </c>
      <c r="O247">
        <v>67703.179999999993</v>
      </c>
    </row>
    <row r="248" spans="1:15" x14ac:dyDescent="0.3">
      <c r="A248" s="1" t="s">
        <v>286</v>
      </c>
      <c r="B248" s="1" t="s">
        <v>59</v>
      </c>
      <c r="C248" s="1" t="s">
        <v>35</v>
      </c>
      <c r="D248">
        <v>2</v>
      </c>
      <c r="E248">
        <v>2</v>
      </c>
      <c r="F248">
        <v>2501</v>
      </c>
      <c r="G248">
        <v>1730192</v>
      </c>
      <c r="H248">
        <v>1689557</v>
      </c>
      <c r="I248" s="2">
        <v>45554</v>
      </c>
      <c r="J248" s="2">
        <v>45618</v>
      </c>
      <c r="K248">
        <v>64</v>
      </c>
      <c r="L248" s="1" t="s">
        <v>42</v>
      </c>
      <c r="M248" s="1" t="s">
        <v>24</v>
      </c>
      <c r="N248">
        <v>0.04</v>
      </c>
      <c r="O248">
        <v>67582.28</v>
      </c>
    </row>
    <row r="249" spans="1:15" x14ac:dyDescent="0.3">
      <c r="A249" s="1" t="s">
        <v>287</v>
      </c>
      <c r="B249" s="1" t="s">
        <v>48</v>
      </c>
      <c r="C249" s="1" t="s">
        <v>33</v>
      </c>
      <c r="D249">
        <v>3</v>
      </c>
      <c r="E249">
        <v>3</v>
      </c>
      <c r="F249">
        <v>3063</v>
      </c>
      <c r="G249">
        <v>1336248</v>
      </c>
      <c r="H249">
        <v>1332984</v>
      </c>
      <c r="I249" s="2">
        <v>45048</v>
      </c>
      <c r="J249" s="2">
        <v>45095</v>
      </c>
      <c r="K249">
        <v>47</v>
      </c>
      <c r="L249" s="1" t="s">
        <v>19</v>
      </c>
      <c r="M249" s="1" t="s">
        <v>20</v>
      </c>
      <c r="N249">
        <v>4.4999999999999998E-2</v>
      </c>
      <c r="O249">
        <v>59984.28</v>
      </c>
    </row>
    <row r="250" spans="1:15" x14ac:dyDescent="0.3">
      <c r="A250" s="1" t="s">
        <v>288</v>
      </c>
      <c r="B250" s="1" t="s">
        <v>37</v>
      </c>
      <c r="C250" s="1" t="s">
        <v>18</v>
      </c>
      <c r="D250">
        <v>1</v>
      </c>
      <c r="E250">
        <v>2</v>
      </c>
      <c r="F250">
        <v>3044</v>
      </c>
      <c r="G250">
        <v>1472251</v>
      </c>
      <c r="H250">
        <v>1400889</v>
      </c>
      <c r="I250" s="2">
        <v>45352</v>
      </c>
      <c r="J250" s="2">
        <v>45386</v>
      </c>
      <c r="K250">
        <v>34</v>
      </c>
      <c r="L250" s="1" t="s">
        <v>53</v>
      </c>
      <c r="M250" s="1" t="s">
        <v>28</v>
      </c>
      <c r="N250">
        <v>4.4999999999999998E-2</v>
      </c>
      <c r="O250">
        <v>63040</v>
      </c>
    </row>
    <row r="251" spans="1:15" x14ac:dyDescent="0.3">
      <c r="A251" s="1" t="s">
        <v>289</v>
      </c>
      <c r="B251" s="1" t="s">
        <v>22</v>
      </c>
      <c r="C251" s="1" t="s">
        <v>23</v>
      </c>
      <c r="D251">
        <v>3</v>
      </c>
      <c r="E251">
        <v>4</v>
      </c>
      <c r="F251">
        <v>3491</v>
      </c>
      <c r="G251">
        <v>666241</v>
      </c>
      <c r="H251">
        <v>616964</v>
      </c>
      <c r="I251" s="2">
        <v>45599</v>
      </c>
      <c r="J251" s="2">
        <v>45632</v>
      </c>
      <c r="K251">
        <v>33</v>
      </c>
      <c r="L251" s="1" t="s">
        <v>30</v>
      </c>
      <c r="M251" s="1" t="s">
        <v>28</v>
      </c>
      <c r="N251">
        <v>0.04</v>
      </c>
      <c r="O251">
        <v>24678.560000000001</v>
      </c>
    </row>
    <row r="252" spans="1:15" x14ac:dyDescent="0.3">
      <c r="A252" s="1" t="s">
        <v>290</v>
      </c>
      <c r="B252" s="1" t="s">
        <v>26</v>
      </c>
      <c r="C252" s="1" t="s">
        <v>33</v>
      </c>
      <c r="D252">
        <v>5</v>
      </c>
      <c r="E252">
        <v>2</v>
      </c>
      <c r="F252">
        <v>811</v>
      </c>
      <c r="G252">
        <v>1292512</v>
      </c>
      <c r="H252">
        <v>1282683</v>
      </c>
      <c r="I252" s="2">
        <v>45492</v>
      </c>
      <c r="J252" s="2">
        <v>45577</v>
      </c>
      <c r="K252">
        <v>85</v>
      </c>
      <c r="L252" s="1" t="s">
        <v>19</v>
      </c>
      <c r="M252" s="1" t="s">
        <v>20</v>
      </c>
      <c r="N252">
        <v>0.05</v>
      </c>
      <c r="O252">
        <v>64134.15</v>
      </c>
    </row>
    <row r="253" spans="1:15" x14ac:dyDescent="0.3">
      <c r="A253" s="1" t="s">
        <v>291</v>
      </c>
      <c r="B253" s="1" t="s">
        <v>48</v>
      </c>
      <c r="C253" s="1" t="s">
        <v>35</v>
      </c>
      <c r="D253">
        <v>2</v>
      </c>
      <c r="E253">
        <v>4</v>
      </c>
      <c r="F253">
        <v>661</v>
      </c>
      <c r="G253">
        <v>942839</v>
      </c>
      <c r="H253">
        <v>932185</v>
      </c>
      <c r="I253" s="2">
        <v>45192</v>
      </c>
      <c r="J253" s="2">
        <v>45233</v>
      </c>
      <c r="K253">
        <v>41</v>
      </c>
      <c r="L253" s="1" t="s">
        <v>53</v>
      </c>
      <c r="M253" s="1" t="s">
        <v>20</v>
      </c>
      <c r="N253">
        <v>0.04</v>
      </c>
      <c r="O253">
        <v>37287.4</v>
      </c>
    </row>
    <row r="254" spans="1:15" x14ac:dyDescent="0.3">
      <c r="A254" s="1" t="s">
        <v>292</v>
      </c>
      <c r="B254" s="1" t="s">
        <v>32</v>
      </c>
      <c r="C254" s="1" t="s">
        <v>38</v>
      </c>
      <c r="D254">
        <v>2</v>
      </c>
      <c r="E254">
        <v>2</v>
      </c>
      <c r="F254">
        <v>2924</v>
      </c>
      <c r="G254">
        <v>1797921</v>
      </c>
      <c r="H254">
        <v>1767158</v>
      </c>
      <c r="I254" s="2">
        <v>45002</v>
      </c>
      <c r="J254" s="2">
        <v>45041</v>
      </c>
      <c r="K254">
        <v>39</v>
      </c>
      <c r="L254" s="1" t="s">
        <v>19</v>
      </c>
      <c r="M254" s="1" t="s">
        <v>20</v>
      </c>
      <c r="N254">
        <v>0.05</v>
      </c>
      <c r="O254">
        <v>88357.9</v>
      </c>
    </row>
    <row r="255" spans="1:15" x14ac:dyDescent="0.3">
      <c r="A255" s="1" t="s">
        <v>293</v>
      </c>
      <c r="B255" s="1" t="s">
        <v>37</v>
      </c>
      <c r="C255" s="1" t="s">
        <v>35</v>
      </c>
      <c r="D255">
        <v>4</v>
      </c>
      <c r="E255">
        <v>1</v>
      </c>
      <c r="F255">
        <v>2105</v>
      </c>
      <c r="G255">
        <v>1448281</v>
      </c>
      <c r="H255">
        <v>1432874</v>
      </c>
      <c r="I255" s="2">
        <v>45003</v>
      </c>
      <c r="J255" s="2">
        <v>45020</v>
      </c>
      <c r="K255">
        <v>17</v>
      </c>
      <c r="L255" s="1" t="s">
        <v>53</v>
      </c>
      <c r="M255" s="1" t="s">
        <v>20</v>
      </c>
      <c r="N255">
        <v>0.04</v>
      </c>
      <c r="O255">
        <v>57314.96</v>
      </c>
    </row>
    <row r="256" spans="1:15" x14ac:dyDescent="0.3">
      <c r="A256" s="1" t="s">
        <v>294</v>
      </c>
      <c r="B256" s="1" t="s">
        <v>32</v>
      </c>
      <c r="C256" s="1" t="s">
        <v>38</v>
      </c>
      <c r="D256">
        <v>3</v>
      </c>
      <c r="E256">
        <v>3</v>
      </c>
      <c r="F256">
        <v>1303</v>
      </c>
      <c r="G256">
        <v>772294</v>
      </c>
      <c r="H256">
        <v>727376</v>
      </c>
      <c r="I256" s="2">
        <v>45440</v>
      </c>
      <c r="J256" s="2">
        <v>45478</v>
      </c>
      <c r="K256">
        <v>38</v>
      </c>
      <c r="L256" s="1" t="s">
        <v>51</v>
      </c>
      <c r="M256" s="1" t="s">
        <v>28</v>
      </c>
      <c r="N256">
        <v>0.05</v>
      </c>
      <c r="O256">
        <v>36368.800000000003</v>
      </c>
    </row>
    <row r="257" spans="1:15" x14ac:dyDescent="0.3">
      <c r="A257" s="1" t="s">
        <v>295</v>
      </c>
      <c r="B257" s="1" t="s">
        <v>48</v>
      </c>
      <c r="C257" s="1" t="s">
        <v>33</v>
      </c>
      <c r="D257">
        <v>5</v>
      </c>
      <c r="E257">
        <v>1</v>
      </c>
      <c r="F257">
        <v>1533</v>
      </c>
      <c r="G257">
        <v>372120</v>
      </c>
      <c r="H257">
        <v>316908</v>
      </c>
      <c r="I257" s="2">
        <v>45120</v>
      </c>
      <c r="J257" s="2">
        <v>45209</v>
      </c>
      <c r="K257">
        <v>89</v>
      </c>
      <c r="L257" s="1" t="s">
        <v>42</v>
      </c>
      <c r="M257" s="1" t="s">
        <v>24</v>
      </c>
      <c r="N257">
        <v>4.4999999999999998E-2</v>
      </c>
      <c r="O257">
        <v>14260.86</v>
      </c>
    </row>
    <row r="258" spans="1:15" x14ac:dyDescent="0.3">
      <c r="A258" s="1" t="s">
        <v>296</v>
      </c>
      <c r="B258" s="1" t="s">
        <v>41</v>
      </c>
      <c r="C258" s="1" t="s">
        <v>23</v>
      </c>
      <c r="D258">
        <v>4</v>
      </c>
      <c r="E258">
        <v>4</v>
      </c>
      <c r="F258">
        <v>3409</v>
      </c>
      <c r="G258">
        <v>504505</v>
      </c>
      <c r="H258">
        <v>463431</v>
      </c>
      <c r="I258" s="2">
        <v>45352</v>
      </c>
      <c r="J258" s="2">
        <v>45381</v>
      </c>
      <c r="K258">
        <v>29</v>
      </c>
      <c r="L258" s="1" t="s">
        <v>39</v>
      </c>
      <c r="M258" s="1" t="s">
        <v>20</v>
      </c>
      <c r="N258">
        <v>0.05</v>
      </c>
      <c r="O258">
        <v>23171.55</v>
      </c>
    </row>
    <row r="259" spans="1:15" x14ac:dyDescent="0.3">
      <c r="A259" s="1" t="s">
        <v>297</v>
      </c>
      <c r="B259" s="1" t="s">
        <v>26</v>
      </c>
      <c r="C259" s="1" t="s">
        <v>23</v>
      </c>
      <c r="D259">
        <v>5</v>
      </c>
      <c r="E259">
        <v>1</v>
      </c>
      <c r="F259">
        <v>3366</v>
      </c>
      <c r="G259">
        <v>577756</v>
      </c>
      <c r="H259">
        <v>533688</v>
      </c>
      <c r="I259" s="2">
        <v>45207</v>
      </c>
      <c r="J259" s="2">
        <v>45230</v>
      </c>
      <c r="K259">
        <v>23</v>
      </c>
      <c r="L259" s="1" t="s">
        <v>44</v>
      </c>
      <c r="M259" s="1" t="s">
        <v>20</v>
      </c>
      <c r="N259">
        <v>4.4999999999999998E-2</v>
      </c>
      <c r="O259">
        <v>24015.96</v>
      </c>
    </row>
    <row r="260" spans="1:15" x14ac:dyDescent="0.3">
      <c r="A260" s="1" t="s">
        <v>298</v>
      </c>
      <c r="B260" s="1" t="s">
        <v>48</v>
      </c>
      <c r="C260" s="1" t="s">
        <v>38</v>
      </c>
      <c r="D260">
        <v>4</v>
      </c>
      <c r="E260">
        <v>3</v>
      </c>
      <c r="F260">
        <v>767</v>
      </c>
      <c r="G260">
        <v>1717700</v>
      </c>
      <c r="H260">
        <v>1702013</v>
      </c>
      <c r="I260" s="2">
        <v>45317</v>
      </c>
      <c r="J260" s="2">
        <v>45388</v>
      </c>
      <c r="K260">
        <v>71</v>
      </c>
      <c r="L260" s="1" t="s">
        <v>51</v>
      </c>
      <c r="M260" s="1" t="s">
        <v>20</v>
      </c>
      <c r="N260">
        <v>4.4999999999999998E-2</v>
      </c>
      <c r="O260">
        <v>76590.58</v>
      </c>
    </row>
    <row r="261" spans="1:15" x14ac:dyDescent="0.3">
      <c r="A261" s="1" t="s">
        <v>299</v>
      </c>
      <c r="B261" s="1" t="s">
        <v>32</v>
      </c>
      <c r="C261" s="1" t="s">
        <v>33</v>
      </c>
      <c r="D261">
        <v>1</v>
      </c>
      <c r="E261">
        <v>2</v>
      </c>
      <c r="F261">
        <v>2950</v>
      </c>
      <c r="G261">
        <v>579488</v>
      </c>
      <c r="H261">
        <v>504795</v>
      </c>
      <c r="I261" s="2">
        <v>45419</v>
      </c>
      <c r="J261" s="2">
        <v>45506</v>
      </c>
      <c r="K261">
        <v>87</v>
      </c>
      <c r="L261" s="1" t="s">
        <v>30</v>
      </c>
      <c r="M261" s="1" t="s">
        <v>20</v>
      </c>
      <c r="N261">
        <v>4.4999999999999998E-2</v>
      </c>
      <c r="O261">
        <v>22715.77</v>
      </c>
    </row>
    <row r="262" spans="1:15" x14ac:dyDescent="0.3">
      <c r="A262" s="1" t="s">
        <v>300</v>
      </c>
      <c r="B262" s="1" t="s">
        <v>26</v>
      </c>
      <c r="C262" s="1" t="s">
        <v>33</v>
      </c>
      <c r="D262">
        <v>1</v>
      </c>
      <c r="E262">
        <v>2</v>
      </c>
      <c r="F262">
        <v>1883</v>
      </c>
      <c r="G262">
        <v>1298345</v>
      </c>
      <c r="H262">
        <v>1235429</v>
      </c>
      <c r="I262" s="2">
        <v>44930</v>
      </c>
      <c r="J262" s="2">
        <v>44944</v>
      </c>
      <c r="K262">
        <v>14</v>
      </c>
      <c r="L262" s="1" t="s">
        <v>30</v>
      </c>
      <c r="M262" s="1" t="s">
        <v>24</v>
      </c>
      <c r="N262">
        <v>4.4999999999999998E-2</v>
      </c>
      <c r="O262">
        <v>55594.31</v>
      </c>
    </row>
    <row r="263" spans="1:15" x14ac:dyDescent="0.3">
      <c r="A263" s="1" t="s">
        <v>301</v>
      </c>
      <c r="B263" s="1" t="s">
        <v>17</v>
      </c>
      <c r="C263" s="1" t="s">
        <v>35</v>
      </c>
      <c r="D263">
        <v>1</v>
      </c>
      <c r="E263">
        <v>1</v>
      </c>
      <c r="F263">
        <v>1949</v>
      </c>
      <c r="G263">
        <v>1477508</v>
      </c>
      <c r="H263">
        <v>1452537</v>
      </c>
      <c r="I263" s="2">
        <v>44963</v>
      </c>
      <c r="J263" s="2">
        <v>45004</v>
      </c>
      <c r="K263">
        <v>41</v>
      </c>
      <c r="L263" s="1" t="s">
        <v>42</v>
      </c>
      <c r="M263" s="1" t="s">
        <v>28</v>
      </c>
      <c r="N263">
        <v>0.04</v>
      </c>
      <c r="O263">
        <v>58101.48</v>
      </c>
    </row>
    <row r="264" spans="1:15" x14ac:dyDescent="0.3">
      <c r="A264" s="1" t="s">
        <v>302</v>
      </c>
      <c r="B264" s="1" t="s">
        <v>32</v>
      </c>
      <c r="C264" s="1" t="s">
        <v>33</v>
      </c>
      <c r="D264">
        <v>4</v>
      </c>
      <c r="E264">
        <v>3</v>
      </c>
      <c r="F264">
        <v>1211</v>
      </c>
      <c r="G264">
        <v>1134865</v>
      </c>
      <c r="H264">
        <v>1087999</v>
      </c>
      <c r="I264" s="2">
        <v>45600</v>
      </c>
      <c r="J264" s="2">
        <v>45644</v>
      </c>
      <c r="K264">
        <v>44</v>
      </c>
      <c r="L264" s="1" t="s">
        <v>19</v>
      </c>
      <c r="M264" s="1" t="s">
        <v>24</v>
      </c>
      <c r="N264">
        <v>0.04</v>
      </c>
      <c r="O264">
        <v>43519.96</v>
      </c>
    </row>
    <row r="265" spans="1:15" x14ac:dyDescent="0.3">
      <c r="A265" s="1" t="s">
        <v>303</v>
      </c>
      <c r="B265" s="1" t="s">
        <v>41</v>
      </c>
      <c r="C265" s="1" t="s">
        <v>23</v>
      </c>
      <c r="D265">
        <v>4</v>
      </c>
      <c r="E265">
        <v>1</v>
      </c>
      <c r="F265">
        <v>3328</v>
      </c>
      <c r="G265">
        <v>890389</v>
      </c>
      <c r="H265">
        <v>878353</v>
      </c>
      <c r="I265" s="2">
        <v>45589</v>
      </c>
      <c r="J265" s="2">
        <v>45655</v>
      </c>
      <c r="K265">
        <v>66</v>
      </c>
      <c r="L265" s="1" t="s">
        <v>44</v>
      </c>
      <c r="M265" s="1" t="s">
        <v>20</v>
      </c>
      <c r="N265">
        <v>0.04</v>
      </c>
      <c r="O265">
        <v>35134.120000000003</v>
      </c>
    </row>
    <row r="266" spans="1:15" x14ac:dyDescent="0.3">
      <c r="A266" s="1" t="s">
        <v>304</v>
      </c>
      <c r="B266" s="1" t="s">
        <v>26</v>
      </c>
      <c r="C266" s="1" t="s">
        <v>33</v>
      </c>
      <c r="D266">
        <v>5</v>
      </c>
      <c r="E266">
        <v>4</v>
      </c>
      <c r="F266">
        <v>1272</v>
      </c>
      <c r="G266">
        <v>391302</v>
      </c>
      <c r="H266">
        <v>338660</v>
      </c>
      <c r="I266" s="2">
        <v>45220</v>
      </c>
      <c r="J266" s="2">
        <v>45242</v>
      </c>
      <c r="K266">
        <v>22</v>
      </c>
      <c r="L266" s="1" t="s">
        <v>39</v>
      </c>
      <c r="M266" s="1" t="s">
        <v>20</v>
      </c>
      <c r="N266">
        <v>0.04</v>
      </c>
      <c r="O266">
        <v>13546.4</v>
      </c>
    </row>
    <row r="267" spans="1:15" x14ac:dyDescent="0.3">
      <c r="A267" s="1" t="s">
        <v>305</v>
      </c>
      <c r="B267" s="1" t="s">
        <v>22</v>
      </c>
      <c r="C267" s="1" t="s">
        <v>38</v>
      </c>
      <c r="D267">
        <v>3</v>
      </c>
      <c r="E267">
        <v>4</v>
      </c>
      <c r="F267">
        <v>3124</v>
      </c>
      <c r="G267">
        <v>521764</v>
      </c>
      <c r="H267">
        <v>460707</v>
      </c>
      <c r="I267" s="2">
        <v>45050</v>
      </c>
      <c r="J267" s="2">
        <v>45107</v>
      </c>
      <c r="K267">
        <v>57</v>
      </c>
      <c r="L267" s="1" t="s">
        <v>42</v>
      </c>
      <c r="M267" s="1" t="s">
        <v>24</v>
      </c>
      <c r="N267">
        <v>0.04</v>
      </c>
      <c r="O267">
        <v>18428.28</v>
      </c>
    </row>
    <row r="268" spans="1:15" x14ac:dyDescent="0.3">
      <c r="A268" s="1" t="s">
        <v>306</v>
      </c>
      <c r="B268" s="1" t="s">
        <v>26</v>
      </c>
      <c r="C268" s="1" t="s">
        <v>33</v>
      </c>
      <c r="D268">
        <v>4</v>
      </c>
      <c r="E268">
        <v>1</v>
      </c>
      <c r="F268">
        <v>2784</v>
      </c>
      <c r="G268">
        <v>958995</v>
      </c>
      <c r="H268">
        <v>937399</v>
      </c>
      <c r="I268" s="2">
        <v>45323</v>
      </c>
      <c r="J268" s="2">
        <v>45408</v>
      </c>
      <c r="K268">
        <v>85</v>
      </c>
      <c r="L268" s="1" t="s">
        <v>27</v>
      </c>
      <c r="M268" s="1" t="s">
        <v>20</v>
      </c>
      <c r="N268">
        <v>0.05</v>
      </c>
      <c r="O268">
        <v>46869.95</v>
      </c>
    </row>
    <row r="269" spans="1:15" x14ac:dyDescent="0.3">
      <c r="A269" s="1" t="s">
        <v>307</v>
      </c>
      <c r="B269" s="1" t="s">
        <v>41</v>
      </c>
      <c r="C269" s="1" t="s">
        <v>33</v>
      </c>
      <c r="D269">
        <v>2</v>
      </c>
      <c r="E269">
        <v>4</v>
      </c>
      <c r="F269">
        <v>3289</v>
      </c>
      <c r="G269">
        <v>1481158</v>
      </c>
      <c r="H269">
        <v>1403153</v>
      </c>
      <c r="I269" s="2">
        <v>45124</v>
      </c>
      <c r="J269" s="2">
        <v>45201</v>
      </c>
      <c r="K269">
        <v>77</v>
      </c>
      <c r="L269" s="1" t="s">
        <v>53</v>
      </c>
      <c r="M269" s="1" t="s">
        <v>24</v>
      </c>
      <c r="N269">
        <v>0.04</v>
      </c>
      <c r="O269">
        <v>56126.12</v>
      </c>
    </row>
    <row r="270" spans="1:15" x14ac:dyDescent="0.3">
      <c r="A270" s="1" t="s">
        <v>308</v>
      </c>
      <c r="B270" s="1" t="s">
        <v>59</v>
      </c>
      <c r="C270" s="1" t="s">
        <v>18</v>
      </c>
      <c r="D270">
        <v>1</v>
      </c>
      <c r="E270">
        <v>1</v>
      </c>
      <c r="F270">
        <v>1160</v>
      </c>
      <c r="G270">
        <v>1395617</v>
      </c>
      <c r="H270">
        <v>1391881</v>
      </c>
      <c r="I270" s="2">
        <v>44957</v>
      </c>
      <c r="J270" s="2">
        <v>44977</v>
      </c>
      <c r="K270">
        <v>20</v>
      </c>
      <c r="L270" s="1" t="s">
        <v>51</v>
      </c>
      <c r="M270" s="1" t="s">
        <v>28</v>
      </c>
      <c r="N270">
        <v>0.04</v>
      </c>
      <c r="O270">
        <v>55675.24</v>
      </c>
    </row>
    <row r="271" spans="1:15" x14ac:dyDescent="0.3">
      <c r="A271" s="1" t="s">
        <v>309</v>
      </c>
      <c r="B271" s="1" t="s">
        <v>17</v>
      </c>
      <c r="C271" s="1" t="s">
        <v>33</v>
      </c>
      <c r="D271">
        <v>3</v>
      </c>
      <c r="E271">
        <v>2</v>
      </c>
      <c r="F271">
        <v>1697</v>
      </c>
      <c r="G271">
        <v>1419414</v>
      </c>
      <c r="H271">
        <v>1345020</v>
      </c>
      <c r="I271" s="2">
        <v>45368</v>
      </c>
      <c r="J271" s="2">
        <v>45384</v>
      </c>
      <c r="K271">
        <v>16</v>
      </c>
      <c r="L271" s="1" t="s">
        <v>39</v>
      </c>
      <c r="M271" s="1" t="s">
        <v>20</v>
      </c>
      <c r="N271">
        <v>4.4999999999999998E-2</v>
      </c>
      <c r="O271">
        <v>60525.9</v>
      </c>
    </row>
    <row r="272" spans="1:15" x14ac:dyDescent="0.3">
      <c r="A272" s="1" t="s">
        <v>310</v>
      </c>
      <c r="B272" s="1" t="s">
        <v>32</v>
      </c>
      <c r="C272" s="1" t="s">
        <v>23</v>
      </c>
      <c r="D272">
        <v>4</v>
      </c>
      <c r="E272">
        <v>2</v>
      </c>
      <c r="F272">
        <v>3131</v>
      </c>
      <c r="G272">
        <v>1151481</v>
      </c>
      <c r="H272">
        <v>1093230</v>
      </c>
      <c r="I272" s="2">
        <v>45326</v>
      </c>
      <c r="J272" s="2">
        <v>45406</v>
      </c>
      <c r="K272">
        <v>80</v>
      </c>
      <c r="L272" s="1" t="s">
        <v>42</v>
      </c>
      <c r="M272" s="1" t="s">
        <v>24</v>
      </c>
      <c r="N272">
        <v>0.04</v>
      </c>
      <c r="O272">
        <v>43729.2</v>
      </c>
    </row>
    <row r="273" spans="1:15" x14ac:dyDescent="0.3">
      <c r="A273" s="1" t="s">
        <v>311</v>
      </c>
      <c r="B273" s="1" t="s">
        <v>26</v>
      </c>
      <c r="C273" s="1" t="s">
        <v>18</v>
      </c>
      <c r="D273">
        <v>4</v>
      </c>
      <c r="E273">
        <v>4</v>
      </c>
      <c r="F273">
        <v>2271</v>
      </c>
      <c r="G273">
        <v>414944</v>
      </c>
      <c r="H273">
        <v>374222</v>
      </c>
      <c r="I273" s="2">
        <v>45368</v>
      </c>
      <c r="J273" s="2">
        <v>45445</v>
      </c>
      <c r="K273">
        <v>77</v>
      </c>
      <c r="L273" s="1" t="s">
        <v>27</v>
      </c>
      <c r="M273" s="1" t="s">
        <v>24</v>
      </c>
      <c r="N273">
        <v>0.05</v>
      </c>
      <c r="O273">
        <v>18711.099999999999</v>
      </c>
    </row>
    <row r="274" spans="1:15" x14ac:dyDescent="0.3">
      <c r="A274" s="1" t="s">
        <v>312</v>
      </c>
      <c r="B274" s="1" t="s">
        <v>32</v>
      </c>
      <c r="C274" s="1" t="s">
        <v>38</v>
      </c>
      <c r="D274">
        <v>5</v>
      </c>
      <c r="E274">
        <v>1</v>
      </c>
      <c r="F274">
        <v>3102</v>
      </c>
      <c r="G274">
        <v>1007682</v>
      </c>
      <c r="H274">
        <v>947107</v>
      </c>
      <c r="I274" s="2">
        <v>45222</v>
      </c>
      <c r="J274" s="2">
        <v>45298</v>
      </c>
      <c r="K274">
        <v>76</v>
      </c>
      <c r="L274" s="1" t="s">
        <v>27</v>
      </c>
      <c r="M274" s="1" t="s">
        <v>28</v>
      </c>
      <c r="N274">
        <v>0.04</v>
      </c>
      <c r="O274">
        <v>37884.28</v>
      </c>
    </row>
    <row r="275" spans="1:15" x14ac:dyDescent="0.3">
      <c r="A275" s="1" t="s">
        <v>313</v>
      </c>
      <c r="B275" s="1" t="s">
        <v>37</v>
      </c>
      <c r="C275" s="1" t="s">
        <v>38</v>
      </c>
      <c r="D275">
        <v>5</v>
      </c>
      <c r="E275">
        <v>1</v>
      </c>
      <c r="F275">
        <v>1581</v>
      </c>
      <c r="G275">
        <v>1689734</v>
      </c>
      <c r="H275">
        <v>1680667</v>
      </c>
      <c r="I275" s="2">
        <v>45446</v>
      </c>
      <c r="J275" s="2">
        <v>45464</v>
      </c>
      <c r="K275">
        <v>18</v>
      </c>
      <c r="L275" s="1" t="s">
        <v>19</v>
      </c>
      <c r="M275" s="1" t="s">
        <v>28</v>
      </c>
      <c r="N275">
        <v>0.04</v>
      </c>
      <c r="O275">
        <v>67226.679999999993</v>
      </c>
    </row>
    <row r="276" spans="1:15" x14ac:dyDescent="0.3">
      <c r="A276" s="1" t="s">
        <v>314</v>
      </c>
      <c r="B276" s="1" t="s">
        <v>22</v>
      </c>
      <c r="C276" s="1" t="s">
        <v>35</v>
      </c>
      <c r="D276">
        <v>5</v>
      </c>
      <c r="E276">
        <v>1</v>
      </c>
      <c r="F276">
        <v>2757</v>
      </c>
      <c r="G276">
        <v>1549832</v>
      </c>
      <c r="H276">
        <v>1483796</v>
      </c>
      <c r="I276" s="2">
        <v>45498</v>
      </c>
      <c r="J276" s="2">
        <v>45587</v>
      </c>
      <c r="K276">
        <v>89</v>
      </c>
      <c r="L276" s="1" t="s">
        <v>19</v>
      </c>
      <c r="M276" s="1" t="s">
        <v>20</v>
      </c>
      <c r="N276">
        <v>0.05</v>
      </c>
      <c r="O276">
        <v>74189.8</v>
      </c>
    </row>
    <row r="277" spans="1:15" x14ac:dyDescent="0.3">
      <c r="A277" s="1" t="s">
        <v>315</v>
      </c>
      <c r="B277" s="1" t="s">
        <v>37</v>
      </c>
      <c r="C277" s="1" t="s">
        <v>35</v>
      </c>
      <c r="D277">
        <v>1</v>
      </c>
      <c r="E277">
        <v>1</v>
      </c>
      <c r="F277">
        <v>627</v>
      </c>
      <c r="G277">
        <v>1572106</v>
      </c>
      <c r="H277">
        <v>1566031</v>
      </c>
      <c r="I277" s="2">
        <v>45140</v>
      </c>
      <c r="J277" s="2">
        <v>45179</v>
      </c>
      <c r="K277">
        <v>39</v>
      </c>
      <c r="L277" s="1" t="s">
        <v>51</v>
      </c>
      <c r="M277" s="1" t="s">
        <v>20</v>
      </c>
      <c r="N277">
        <v>0.05</v>
      </c>
      <c r="O277">
        <v>78301.55</v>
      </c>
    </row>
    <row r="278" spans="1:15" x14ac:dyDescent="0.3">
      <c r="A278" s="1" t="s">
        <v>316</v>
      </c>
      <c r="B278" s="1" t="s">
        <v>59</v>
      </c>
      <c r="C278" s="1" t="s">
        <v>35</v>
      </c>
      <c r="D278">
        <v>5</v>
      </c>
      <c r="E278">
        <v>1</v>
      </c>
      <c r="F278">
        <v>2879</v>
      </c>
      <c r="G278">
        <v>1771357</v>
      </c>
      <c r="H278">
        <v>1693428</v>
      </c>
      <c r="I278" s="2">
        <v>45070</v>
      </c>
      <c r="J278" s="2">
        <v>45115</v>
      </c>
      <c r="K278">
        <v>45</v>
      </c>
      <c r="L278" s="1" t="s">
        <v>19</v>
      </c>
      <c r="M278" s="1" t="s">
        <v>28</v>
      </c>
      <c r="N278">
        <v>0.05</v>
      </c>
      <c r="O278">
        <v>84671.4</v>
      </c>
    </row>
    <row r="279" spans="1:15" x14ac:dyDescent="0.3">
      <c r="A279" s="1" t="s">
        <v>317</v>
      </c>
      <c r="B279" s="1" t="s">
        <v>48</v>
      </c>
      <c r="C279" s="1" t="s">
        <v>38</v>
      </c>
      <c r="D279">
        <v>5</v>
      </c>
      <c r="E279">
        <v>1</v>
      </c>
      <c r="F279">
        <v>3089</v>
      </c>
      <c r="G279">
        <v>1573330</v>
      </c>
      <c r="H279">
        <v>1557741</v>
      </c>
      <c r="I279" s="2">
        <v>44957</v>
      </c>
      <c r="J279" s="2">
        <v>45024</v>
      </c>
      <c r="K279">
        <v>67</v>
      </c>
      <c r="L279" s="1" t="s">
        <v>53</v>
      </c>
      <c r="M279" s="1" t="s">
        <v>28</v>
      </c>
      <c r="N279">
        <v>4.4999999999999998E-2</v>
      </c>
      <c r="O279">
        <v>70098.350000000006</v>
      </c>
    </row>
    <row r="280" spans="1:15" x14ac:dyDescent="0.3">
      <c r="A280" s="1" t="s">
        <v>318</v>
      </c>
      <c r="B280" s="1" t="s">
        <v>37</v>
      </c>
      <c r="C280" s="1" t="s">
        <v>33</v>
      </c>
      <c r="D280">
        <v>3</v>
      </c>
      <c r="E280">
        <v>2</v>
      </c>
      <c r="F280">
        <v>1270</v>
      </c>
      <c r="G280">
        <v>1354895</v>
      </c>
      <c r="H280">
        <v>1320963</v>
      </c>
      <c r="I280" s="2">
        <v>45146</v>
      </c>
      <c r="J280" s="2">
        <v>45185</v>
      </c>
      <c r="K280">
        <v>39</v>
      </c>
      <c r="L280" s="1" t="s">
        <v>30</v>
      </c>
      <c r="M280" s="1" t="s">
        <v>20</v>
      </c>
      <c r="N280">
        <v>4.4999999999999998E-2</v>
      </c>
      <c r="O280">
        <v>59443.33</v>
      </c>
    </row>
    <row r="281" spans="1:15" x14ac:dyDescent="0.3">
      <c r="A281" s="1" t="s">
        <v>319</v>
      </c>
      <c r="B281" s="1" t="s">
        <v>37</v>
      </c>
      <c r="C281" s="1" t="s">
        <v>18</v>
      </c>
      <c r="D281">
        <v>1</v>
      </c>
      <c r="E281">
        <v>1</v>
      </c>
      <c r="F281">
        <v>3230</v>
      </c>
      <c r="G281">
        <v>1527284</v>
      </c>
      <c r="H281">
        <v>1464981</v>
      </c>
      <c r="I281" s="2">
        <v>45549</v>
      </c>
      <c r="J281" s="2">
        <v>45617</v>
      </c>
      <c r="K281">
        <v>68</v>
      </c>
      <c r="L281" s="1" t="s">
        <v>27</v>
      </c>
      <c r="M281" s="1" t="s">
        <v>28</v>
      </c>
      <c r="N281">
        <v>0.05</v>
      </c>
      <c r="O281">
        <v>73249.05</v>
      </c>
    </row>
    <row r="282" spans="1:15" x14ac:dyDescent="0.3">
      <c r="A282" s="1" t="s">
        <v>320</v>
      </c>
      <c r="B282" s="1" t="s">
        <v>22</v>
      </c>
      <c r="C282" s="1" t="s">
        <v>35</v>
      </c>
      <c r="D282">
        <v>2</v>
      </c>
      <c r="E282">
        <v>1</v>
      </c>
      <c r="F282">
        <v>1702</v>
      </c>
      <c r="G282">
        <v>1480753</v>
      </c>
      <c r="H282">
        <v>1451259</v>
      </c>
      <c r="I282" s="2">
        <v>45476</v>
      </c>
      <c r="J282" s="2">
        <v>45531</v>
      </c>
      <c r="K282">
        <v>55</v>
      </c>
      <c r="L282" s="1" t="s">
        <v>44</v>
      </c>
      <c r="M282" s="1" t="s">
        <v>20</v>
      </c>
      <c r="N282">
        <v>0.05</v>
      </c>
      <c r="O282">
        <v>72562.95</v>
      </c>
    </row>
    <row r="283" spans="1:15" x14ac:dyDescent="0.3">
      <c r="A283" s="1" t="s">
        <v>321</v>
      </c>
      <c r="B283" s="1" t="s">
        <v>48</v>
      </c>
      <c r="C283" s="1" t="s">
        <v>23</v>
      </c>
      <c r="D283">
        <v>3</v>
      </c>
      <c r="E283">
        <v>2</v>
      </c>
      <c r="F283">
        <v>618</v>
      </c>
      <c r="G283">
        <v>1161083</v>
      </c>
      <c r="H283">
        <v>1091610</v>
      </c>
      <c r="I283" s="2">
        <v>45510</v>
      </c>
      <c r="J283" s="2">
        <v>45587</v>
      </c>
      <c r="K283">
        <v>77</v>
      </c>
      <c r="L283" s="1" t="s">
        <v>51</v>
      </c>
      <c r="M283" s="1" t="s">
        <v>28</v>
      </c>
      <c r="N283">
        <v>0.04</v>
      </c>
      <c r="O283">
        <v>43664.4</v>
      </c>
    </row>
    <row r="284" spans="1:15" x14ac:dyDescent="0.3">
      <c r="A284" s="1" t="s">
        <v>322</v>
      </c>
      <c r="B284" s="1" t="s">
        <v>48</v>
      </c>
      <c r="C284" s="1" t="s">
        <v>38</v>
      </c>
      <c r="D284">
        <v>2</v>
      </c>
      <c r="E284">
        <v>1</v>
      </c>
      <c r="F284">
        <v>2462</v>
      </c>
      <c r="G284">
        <v>492904</v>
      </c>
      <c r="H284">
        <v>438225</v>
      </c>
      <c r="I284" s="2">
        <v>45204</v>
      </c>
      <c r="J284" s="2">
        <v>45282</v>
      </c>
      <c r="K284">
        <v>78</v>
      </c>
      <c r="L284" s="1" t="s">
        <v>42</v>
      </c>
      <c r="M284" s="1" t="s">
        <v>24</v>
      </c>
      <c r="N284">
        <v>0.05</v>
      </c>
      <c r="O284">
        <v>21911.25</v>
      </c>
    </row>
    <row r="285" spans="1:15" x14ac:dyDescent="0.3">
      <c r="A285" s="1" t="s">
        <v>323</v>
      </c>
      <c r="B285" s="1" t="s">
        <v>41</v>
      </c>
      <c r="C285" s="1" t="s">
        <v>35</v>
      </c>
      <c r="D285">
        <v>5</v>
      </c>
      <c r="E285">
        <v>1</v>
      </c>
      <c r="F285">
        <v>2783</v>
      </c>
      <c r="G285">
        <v>358298</v>
      </c>
      <c r="H285">
        <v>298536</v>
      </c>
      <c r="I285" s="2">
        <v>45369</v>
      </c>
      <c r="J285" s="2">
        <v>45376</v>
      </c>
      <c r="K285">
        <v>7</v>
      </c>
      <c r="L285" s="1" t="s">
        <v>19</v>
      </c>
      <c r="M285" s="1" t="s">
        <v>28</v>
      </c>
      <c r="N285">
        <v>0.05</v>
      </c>
      <c r="O285">
        <v>14926.8</v>
      </c>
    </row>
    <row r="286" spans="1:15" x14ac:dyDescent="0.3">
      <c r="A286" s="1" t="s">
        <v>324</v>
      </c>
      <c r="B286" s="1" t="s">
        <v>32</v>
      </c>
      <c r="C286" s="1" t="s">
        <v>33</v>
      </c>
      <c r="D286">
        <v>4</v>
      </c>
      <c r="E286">
        <v>4</v>
      </c>
      <c r="F286">
        <v>950</v>
      </c>
      <c r="G286">
        <v>485769</v>
      </c>
      <c r="H286">
        <v>415374</v>
      </c>
      <c r="I286" s="2">
        <v>45105</v>
      </c>
      <c r="J286" s="2">
        <v>45184</v>
      </c>
      <c r="K286">
        <v>79</v>
      </c>
      <c r="L286" s="1" t="s">
        <v>44</v>
      </c>
      <c r="M286" s="1" t="s">
        <v>28</v>
      </c>
      <c r="N286">
        <v>4.4999999999999998E-2</v>
      </c>
      <c r="O286">
        <v>18691.830000000002</v>
      </c>
    </row>
    <row r="287" spans="1:15" x14ac:dyDescent="0.3">
      <c r="A287" s="1" t="s">
        <v>325</v>
      </c>
      <c r="B287" s="1" t="s">
        <v>26</v>
      </c>
      <c r="C287" s="1" t="s">
        <v>35</v>
      </c>
      <c r="D287">
        <v>1</v>
      </c>
      <c r="E287">
        <v>1</v>
      </c>
      <c r="F287">
        <v>2638</v>
      </c>
      <c r="G287">
        <v>1423759</v>
      </c>
      <c r="H287">
        <v>1399629</v>
      </c>
      <c r="I287" s="2">
        <v>45070</v>
      </c>
      <c r="J287" s="2">
        <v>45104</v>
      </c>
      <c r="K287">
        <v>34</v>
      </c>
      <c r="L287" s="1" t="s">
        <v>53</v>
      </c>
      <c r="M287" s="1" t="s">
        <v>20</v>
      </c>
      <c r="N287">
        <v>0.05</v>
      </c>
      <c r="O287">
        <v>69981.45</v>
      </c>
    </row>
    <row r="288" spans="1:15" x14ac:dyDescent="0.3">
      <c r="A288" s="1" t="s">
        <v>326</v>
      </c>
      <c r="B288" s="1" t="s">
        <v>48</v>
      </c>
      <c r="C288" s="1" t="s">
        <v>33</v>
      </c>
      <c r="D288">
        <v>4</v>
      </c>
      <c r="E288">
        <v>2</v>
      </c>
      <c r="F288">
        <v>3044</v>
      </c>
      <c r="G288">
        <v>1138779</v>
      </c>
      <c r="H288">
        <v>1087258</v>
      </c>
      <c r="I288" s="2">
        <v>44966</v>
      </c>
      <c r="J288" s="2">
        <v>44979</v>
      </c>
      <c r="K288">
        <v>13</v>
      </c>
      <c r="L288" s="1" t="s">
        <v>42</v>
      </c>
      <c r="M288" s="1" t="s">
        <v>20</v>
      </c>
      <c r="N288">
        <v>0.04</v>
      </c>
      <c r="O288">
        <v>43490.32</v>
      </c>
    </row>
    <row r="289" spans="1:15" x14ac:dyDescent="0.3">
      <c r="A289" s="1" t="s">
        <v>327</v>
      </c>
      <c r="B289" s="1" t="s">
        <v>17</v>
      </c>
      <c r="C289" s="1" t="s">
        <v>33</v>
      </c>
      <c r="D289">
        <v>4</v>
      </c>
      <c r="E289">
        <v>3</v>
      </c>
      <c r="F289">
        <v>1477</v>
      </c>
      <c r="G289">
        <v>1188241</v>
      </c>
      <c r="H289">
        <v>1140763</v>
      </c>
      <c r="I289" s="2">
        <v>45157</v>
      </c>
      <c r="J289" s="2">
        <v>45184</v>
      </c>
      <c r="K289">
        <v>27</v>
      </c>
      <c r="L289" s="1" t="s">
        <v>51</v>
      </c>
      <c r="M289" s="1" t="s">
        <v>28</v>
      </c>
      <c r="N289">
        <v>0.04</v>
      </c>
      <c r="O289">
        <v>45630.52</v>
      </c>
    </row>
    <row r="290" spans="1:15" x14ac:dyDescent="0.3">
      <c r="A290" s="1" t="s">
        <v>328</v>
      </c>
      <c r="B290" s="1" t="s">
        <v>32</v>
      </c>
      <c r="C290" s="1" t="s">
        <v>35</v>
      </c>
      <c r="D290">
        <v>2</v>
      </c>
      <c r="E290">
        <v>1</v>
      </c>
      <c r="F290">
        <v>2146</v>
      </c>
      <c r="G290">
        <v>1522474</v>
      </c>
      <c r="H290">
        <v>1516293</v>
      </c>
      <c r="I290" s="2">
        <v>45440</v>
      </c>
      <c r="J290" s="2">
        <v>45482</v>
      </c>
      <c r="K290">
        <v>42</v>
      </c>
      <c r="L290" s="1" t="s">
        <v>53</v>
      </c>
      <c r="M290" s="1" t="s">
        <v>24</v>
      </c>
      <c r="N290">
        <v>0.04</v>
      </c>
      <c r="O290">
        <v>60651.72</v>
      </c>
    </row>
    <row r="291" spans="1:15" x14ac:dyDescent="0.3">
      <c r="A291" s="1" t="s">
        <v>329</v>
      </c>
      <c r="B291" s="1" t="s">
        <v>41</v>
      </c>
      <c r="C291" s="1" t="s">
        <v>18</v>
      </c>
      <c r="D291">
        <v>1</v>
      </c>
      <c r="E291">
        <v>2</v>
      </c>
      <c r="F291">
        <v>3455</v>
      </c>
      <c r="G291">
        <v>978044</v>
      </c>
      <c r="H291">
        <v>922556</v>
      </c>
      <c r="I291" s="2">
        <v>44975</v>
      </c>
      <c r="J291" s="2">
        <v>45042</v>
      </c>
      <c r="K291">
        <v>67</v>
      </c>
      <c r="L291" s="1" t="s">
        <v>39</v>
      </c>
      <c r="M291" s="1" t="s">
        <v>24</v>
      </c>
      <c r="N291">
        <v>0.04</v>
      </c>
      <c r="O291">
        <v>36902.239999999998</v>
      </c>
    </row>
    <row r="292" spans="1:15" x14ac:dyDescent="0.3">
      <c r="A292" s="1" t="s">
        <v>330</v>
      </c>
      <c r="B292" s="1" t="s">
        <v>37</v>
      </c>
      <c r="C292" s="1" t="s">
        <v>35</v>
      </c>
      <c r="D292">
        <v>1</v>
      </c>
      <c r="E292">
        <v>4</v>
      </c>
      <c r="F292">
        <v>935</v>
      </c>
      <c r="G292">
        <v>1075711</v>
      </c>
      <c r="H292">
        <v>999390</v>
      </c>
      <c r="I292" s="2">
        <v>45317</v>
      </c>
      <c r="J292" s="2">
        <v>45385</v>
      </c>
      <c r="K292">
        <v>68</v>
      </c>
      <c r="L292" s="1" t="s">
        <v>27</v>
      </c>
      <c r="M292" s="1" t="s">
        <v>24</v>
      </c>
      <c r="N292">
        <v>0.05</v>
      </c>
      <c r="O292">
        <v>49969.5</v>
      </c>
    </row>
    <row r="293" spans="1:15" x14ac:dyDescent="0.3">
      <c r="A293" s="1" t="s">
        <v>331</v>
      </c>
      <c r="B293" s="1" t="s">
        <v>17</v>
      </c>
      <c r="C293" s="1" t="s">
        <v>35</v>
      </c>
      <c r="D293">
        <v>4</v>
      </c>
      <c r="E293">
        <v>2</v>
      </c>
      <c r="F293">
        <v>765</v>
      </c>
      <c r="G293">
        <v>566783</v>
      </c>
      <c r="H293">
        <v>559697</v>
      </c>
      <c r="I293" s="2">
        <v>45336</v>
      </c>
      <c r="J293" s="2">
        <v>45359</v>
      </c>
      <c r="K293">
        <v>23</v>
      </c>
      <c r="L293" s="1" t="s">
        <v>53</v>
      </c>
      <c r="M293" s="1" t="s">
        <v>28</v>
      </c>
      <c r="N293">
        <v>0.04</v>
      </c>
      <c r="O293">
        <v>22387.88</v>
      </c>
    </row>
    <row r="294" spans="1:15" x14ac:dyDescent="0.3">
      <c r="A294" s="1" t="s">
        <v>332</v>
      </c>
      <c r="B294" s="1" t="s">
        <v>37</v>
      </c>
      <c r="C294" s="1" t="s">
        <v>35</v>
      </c>
      <c r="D294">
        <v>5</v>
      </c>
      <c r="E294">
        <v>2</v>
      </c>
      <c r="F294">
        <v>698</v>
      </c>
      <c r="G294">
        <v>413064</v>
      </c>
      <c r="H294">
        <v>394940</v>
      </c>
      <c r="I294" s="2">
        <v>45525</v>
      </c>
      <c r="J294" s="2">
        <v>45561</v>
      </c>
      <c r="K294">
        <v>36</v>
      </c>
      <c r="L294" s="1" t="s">
        <v>39</v>
      </c>
      <c r="M294" s="1" t="s">
        <v>24</v>
      </c>
      <c r="N294">
        <v>0.04</v>
      </c>
      <c r="O294">
        <v>15797.6</v>
      </c>
    </row>
    <row r="295" spans="1:15" x14ac:dyDescent="0.3">
      <c r="A295" s="1" t="s">
        <v>333</v>
      </c>
      <c r="B295" s="1" t="s">
        <v>22</v>
      </c>
      <c r="C295" s="1" t="s">
        <v>18</v>
      </c>
      <c r="D295">
        <v>3</v>
      </c>
      <c r="E295">
        <v>2</v>
      </c>
      <c r="F295">
        <v>2078</v>
      </c>
      <c r="G295">
        <v>1031381</v>
      </c>
      <c r="H295">
        <v>1026831</v>
      </c>
      <c r="I295" s="2">
        <v>44999</v>
      </c>
      <c r="J295" s="2">
        <v>45030</v>
      </c>
      <c r="K295">
        <v>31</v>
      </c>
      <c r="L295" s="1" t="s">
        <v>30</v>
      </c>
      <c r="M295" s="1" t="s">
        <v>24</v>
      </c>
      <c r="N295">
        <v>4.4999999999999998E-2</v>
      </c>
      <c r="O295">
        <v>46207.39</v>
      </c>
    </row>
    <row r="296" spans="1:15" x14ac:dyDescent="0.3">
      <c r="A296" s="1" t="s">
        <v>334</v>
      </c>
      <c r="B296" s="1" t="s">
        <v>22</v>
      </c>
      <c r="C296" s="1" t="s">
        <v>23</v>
      </c>
      <c r="D296">
        <v>3</v>
      </c>
      <c r="E296">
        <v>2</v>
      </c>
      <c r="F296">
        <v>996</v>
      </c>
      <c r="G296">
        <v>802637</v>
      </c>
      <c r="H296">
        <v>731043</v>
      </c>
      <c r="I296" s="2">
        <v>45424</v>
      </c>
      <c r="J296" s="2">
        <v>45467</v>
      </c>
      <c r="K296">
        <v>43</v>
      </c>
      <c r="L296" s="1" t="s">
        <v>27</v>
      </c>
      <c r="M296" s="1" t="s">
        <v>20</v>
      </c>
      <c r="N296">
        <v>0.04</v>
      </c>
      <c r="O296">
        <v>29241.72</v>
      </c>
    </row>
    <row r="297" spans="1:15" x14ac:dyDescent="0.3">
      <c r="A297" s="1" t="s">
        <v>335</v>
      </c>
      <c r="B297" s="1" t="s">
        <v>17</v>
      </c>
      <c r="C297" s="1" t="s">
        <v>18</v>
      </c>
      <c r="D297">
        <v>5</v>
      </c>
      <c r="E297">
        <v>2</v>
      </c>
      <c r="F297">
        <v>2648</v>
      </c>
      <c r="G297">
        <v>1034938</v>
      </c>
      <c r="H297">
        <v>1024855</v>
      </c>
      <c r="I297" s="2">
        <v>45554</v>
      </c>
      <c r="J297" s="2">
        <v>45622</v>
      </c>
      <c r="K297">
        <v>68</v>
      </c>
      <c r="L297" s="1" t="s">
        <v>42</v>
      </c>
      <c r="M297" s="1" t="s">
        <v>28</v>
      </c>
      <c r="N297">
        <v>0.04</v>
      </c>
      <c r="O297">
        <v>40994.199999999997</v>
      </c>
    </row>
    <row r="298" spans="1:15" x14ac:dyDescent="0.3">
      <c r="A298" s="1" t="s">
        <v>336</v>
      </c>
      <c r="B298" s="1" t="s">
        <v>37</v>
      </c>
      <c r="C298" s="1" t="s">
        <v>38</v>
      </c>
      <c r="D298">
        <v>4</v>
      </c>
      <c r="E298">
        <v>2</v>
      </c>
      <c r="F298">
        <v>2797</v>
      </c>
      <c r="G298">
        <v>958843</v>
      </c>
      <c r="H298">
        <v>938473</v>
      </c>
      <c r="I298" s="2">
        <v>45581</v>
      </c>
      <c r="J298" s="2">
        <v>45653</v>
      </c>
      <c r="K298">
        <v>72</v>
      </c>
      <c r="L298" s="1" t="s">
        <v>53</v>
      </c>
      <c r="M298" s="1" t="s">
        <v>24</v>
      </c>
      <c r="N298">
        <v>4.4999999999999998E-2</v>
      </c>
      <c r="O298">
        <v>42231.28</v>
      </c>
    </row>
    <row r="299" spans="1:15" x14ac:dyDescent="0.3">
      <c r="A299" s="1" t="s">
        <v>337</v>
      </c>
      <c r="B299" s="1" t="s">
        <v>59</v>
      </c>
      <c r="C299" s="1" t="s">
        <v>35</v>
      </c>
      <c r="D299">
        <v>1</v>
      </c>
      <c r="E299">
        <v>3</v>
      </c>
      <c r="F299">
        <v>841</v>
      </c>
      <c r="G299">
        <v>1606785</v>
      </c>
      <c r="H299">
        <v>1579646</v>
      </c>
      <c r="I299" s="2">
        <v>45242</v>
      </c>
      <c r="J299" s="2">
        <v>45258</v>
      </c>
      <c r="K299">
        <v>16</v>
      </c>
      <c r="L299" s="1" t="s">
        <v>30</v>
      </c>
      <c r="M299" s="1" t="s">
        <v>20</v>
      </c>
      <c r="N299">
        <v>0.05</v>
      </c>
      <c r="O299">
        <v>78982.3</v>
      </c>
    </row>
    <row r="300" spans="1:15" x14ac:dyDescent="0.3">
      <c r="A300" s="1" t="s">
        <v>338</v>
      </c>
      <c r="B300" s="1" t="s">
        <v>17</v>
      </c>
      <c r="C300" s="1" t="s">
        <v>23</v>
      </c>
      <c r="D300">
        <v>1</v>
      </c>
      <c r="E300">
        <v>4</v>
      </c>
      <c r="F300">
        <v>3084</v>
      </c>
      <c r="G300">
        <v>960291</v>
      </c>
      <c r="H300">
        <v>957705</v>
      </c>
      <c r="I300" s="2">
        <v>45246</v>
      </c>
      <c r="J300" s="2">
        <v>45332</v>
      </c>
      <c r="K300">
        <v>86</v>
      </c>
      <c r="L300" s="1" t="s">
        <v>42</v>
      </c>
      <c r="M300" s="1" t="s">
        <v>24</v>
      </c>
      <c r="N300">
        <v>4.4999999999999998E-2</v>
      </c>
      <c r="O300">
        <v>43096.72</v>
      </c>
    </row>
    <row r="301" spans="1:15" x14ac:dyDescent="0.3">
      <c r="A301" s="1" t="s">
        <v>339</v>
      </c>
      <c r="B301" s="1" t="s">
        <v>32</v>
      </c>
      <c r="C301" s="1" t="s">
        <v>23</v>
      </c>
      <c r="D301">
        <v>3</v>
      </c>
      <c r="E301">
        <v>4</v>
      </c>
      <c r="F301">
        <v>2465</v>
      </c>
      <c r="G301">
        <v>724506</v>
      </c>
      <c r="H301">
        <v>708016</v>
      </c>
      <c r="I301" s="2">
        <v>45280</v>
      </c>
      <c r="J301" s="2">
        <v>45368</v>
      </c>
      <c r="K301">
        <v>88</v>
      </c>
      <c r="L301" s="1" t="s">
        <v>27</v>
      </c>
      <c r="M301" s="1" t="s">
        <v>28</v>
      </c>
      <c r="N301">
        <v>0.04</v>
      </c>
      <c r="O301">
        <v>28320.639999999999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556C-AB34-48F8-B945-D939FAECEC87}">
  <dimension ref="A1:O301"/>
  <sheetViews>
    <sheetView workbookViewId="0">
      <selection activeCell="Q14" sqref="Q14"/>
    </sheetView>
  </sheetViews>
  <sheetFormatPr defaultRowHeight="14.4" x14ac:dyDescent="0.3"/>
  <cols>
    <col min="1" max="1" width="12.88671875" bestFit="1" customWidth="1"/>
    <col min="2" max="2" width="11.21875" bestFit="1" customWidth="1"/>
    <col min="3" max="3" width="15" bestFit="1" customWidth="1"/>
    <col min="4" max="4" width="11.6640625" bestFit="1" customWidth="1"/>
    <col min="5" max="5" width="12.21875" bestFit="1" customWidth="1"/>
    <col min="6" max="6" width="13.5546875" bestFit="1" customWidth="1"/>
    <col min="7" max="7" width="13.77734375" bestFit="1" customWidth="1"/>
    <col min="8" max="8" width="12" bestFit="1" customWidth="1"/>
    <col min="9" max="9" width="10.88671875" bestFit="1" customWidth="1"/>
    <col min="10" max="10" width="11.5546875" bestFit="1" customWidth="1"/>
    <col min="11" max="11" width="16.6640625" bestFit="1" customWidth="1"/>
    <col min="12" max="12" width="14.44140625" bestFit="1" customWidth="1"/>
    <col min="13" max="13" width="8.5546875" bestFit="1" customWidth="1"/>
    <col min="14" max="14" width="18.33203125" bestFit="1" customWidth="1"/>
    <col min="15" max="15" width="20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16</v>
      </c>
      <c r="B2" s="1" t="s">
        <v>17</v>
      </c>
      <c r="C2" s="1" t="s">
        <v>18</v>
      </c>
      <c r="D2">
        <v>4</v>
      </c>
      <c r="E2">
        <v>2</v>
      </c>
      <c r="F2">
        <v>2622</v>
      </c>
      <c r="G2">
        <v>699922</v>
      </c>
      <c r="H2">
        <v>651856</v>
      </c>
      <c r="I2" s="2">
        <v>45562</v>
      </c>
      <c r="J2" s="2">
        <v>45585</v>
      </c>
      <c r="K2">
        <v>23</v>
      </c>
      <c r="L2" s="1" t="s">
        <v>19</v>
      </c>
      <c r="M2" s="1" t="s">
        <v>20</v>
      </c>
      <c r="N2">
        <v>4.4999999999999998E-2</v>
      </c>
      <c r="O2">
        <v>29333.52</v>
      </c>
    </row>
    <row r="3" spans="1:15" x14ac:dyDescent="0.3">
      <c r="A3" s="1" t="s">
        <v>21</v>
      </c>
      <c r="B3" s="1" t="s">
        <v>22</v>
      </c>
      <c r="C3" s="1" t="s">
        <v>23</v>
      </c>
      <c r="D3">
        <v>3</v>
      </c>
      <c r="E3">
        <v>4</v>
      </c>
      <c r="F3">
        <v>2333</v>
      </c>
      <c r="G3">
        <v>762889</v>
      </c>
      <c r="H3">
        <v>696727</v>
      </c>
      <c r="I3" s="2">
        <v>45036</v>
      </c>
      <c r="J3" s="2">
        <v>45052</v>
      </c>
      <c r="K3">
        <v>16</v>
      </c>
      <c r="L3" s="1" t="s">
        <v>19</v>
      </c>
      <c r="M3" s="1" t="s">
        <v>24</v>
      </c>
      <c r="N3">
        <v>0.04</v>
      </c>
      <c r="O3">
        <v>27869.08</v>
      </c>
    </row>
    <row r="4" spans="1:15" x14ac:dyDescent="0.3">
      <c r="A4" s="1" t="s">
        <v>25</v>
      </c>
      <c r="B4" s="1" t="s">
        <v>26</v>
      </c>
      <c r="C4" s="1" t="s">
        <v>18</v>
      </c>
      <c r="D4">
        <v>4</v>
      </c>
      <c r="E4">
        <v>3</v>
      </c>
      <c r="F4">
        <v>2645</v>
      </c>
      <c r="G4">
        <v>1479721</v>
      </c>
      <c r="H4">
        <v>1462549</v>
      </c>
      <c r="I4" s="2">
        <v>45404</v>
      </c>
      <c r="J4" s="2">
        <v>45428</v>
      </c>
      <c r="K4">
        <v>24</v>
      </c>
      <c r="L4" s="1" t="s">
        <v>27</v>
      </c>
      <c r="M4" s="1" t="s">
        <v>28</v>
      </c>
      <c r="N4">
        <v>0.04</v>
      </c>
      <c r="O4">
        <v>58501.96</v>
      </c>
    </row>
    <row r="5" spans="1:15" x14ac:dyDescent="0.3">
      <c r="A5" s="1" t="s">
        <v>29</v>
      </c>
      <c r="B5" s="1" t="s">
        <v>26</v>
      </c>
      <c r="C5" s="1" t="s">
        <v>18</v>
      </c>
      <c r="D5">
        <v>4</v>
      </c>
      <c r="E5">
        <v>3</v>
      </c>
      <c r="F5">
        <v>540</v>
      </c>
      <c r="G5">
        <v>1540446</v>
      </c>
      <c r="H5">
        <v>1480985</v>
      </c>
      <c r="I5" s="2">
        <v>45197</v>
      </c>
      <c r="J5" s="2">
        <v>45265</v>
      </c>
      <c r="K5">
        <v>68</v>
      </c>
      <c r="L5" s="1" t="s">
        <v>30</v>
      </c>
      <c r="M5" s="1" t="s">
        <v>28</v>
      </c>
      <c r="N5">
        <v>0.04</v>
      </c>
      <c r="O5">
        <v>59239.4</v>
      </c>
    </row>
    <row r="6" spans="1:15" x14ac:dyDescent="0.3">
      <c r="A6" s="1" t="s">
        <v>31</v>
      </c>
      <c r="B6" s="1" t="s">
        <v>32</v>
      </c>
      <c r="C6" s="1" t="s">
        <v>33</v>
      </c>
      <c r="D6">
        <v>3</v>
      </c>
      <c r="E6">
        <v>4</v>
      </c>
      <c r="F6">
        <v>3079</v>
      </c>
      <c r="G6">
        <v>1717388</v>
      </c>
      <c r="H6">
        <v>1703806</v>
      </c>
      <c r="I6" s="2">
        <v>45456</v>
      </c>
      <c r="J6" s="2">
        <v>45475</v>
      </c>
      <c r="K6">
        <v>19</v>
      </c>
      <c r="L6" s="1" t="s">
        <v>30</v>
      </c>
      <c r="M6" s="1" t="s">
        <v>24</v>
      </c>
      <c r="N6">
        <v>0.04</v>
      </c>
      <c r="O6">
        <v>68152.240000000005</v>
      </c>
    </row>
    <row r="7" spans="1:15" x14ac:dyDescent="0.3">
      <c r="A7" s="1" t="s">
        <v>34</v>
      </c>
      <c r="B7" s="1" t="s">
        <v>32</v>
      </c>
      <c r="C7" s="1" t="s">
        <v>35</v>
      </c>
      <c r="D7">
        <v>4</v>
      </c>
      <c r="E7">
        <v>1</v>
      </c>
      <c r="F7">
        <v>676</v>
      </c>
      <c r="G7">
        <v>473809</v>
      </c>
      <c r="H7">
        <v>430808</v>
      </c>
      <c r="I7" s="2">
        <v>45111</v>
      </c>
      <c r="J7" s="2">
        <v>45140</v>
      </c>
      <c r="K7">
        <v>29</v>
      </c>
      <c r="L7" s="1" t="s">
        <v>19</v>
      </c>
      <c r="M7" s="1" t="s">
        <v>20</v>
      </c>
      <c r="N7">
        <v>0.05</v>
      </c>
      <c r="O7">
        <v>21540.400000000001</v>
      </c>
    </row>
    <row r="8" spans="1:15" x14ac:dyDescent="0.3">
      <c r="A8" s="1" t="s">
        <v>36</v>
      </c>
      <c r="B8" s="1" t="s">
        <v>37</v>
      </c>
      <c r="C8" s="1" t="s">
        <v>38</v>
      </c>
      <c r="D8">
        <v>3</v>
      </c>
      <c r="E8">
        <v>2</v>
      </c>
      <c r="F8">
        <v>2978</v>
      </c>
      <c r="G8">
        <v>1501453</v>
      </c>
      <c r="H8">
        <v>1430762</v>
      </c>
      <c r="I8" s="2">
        <v>45515</v>
      </c>
      <c r="J8" s="2">
        <v>45599</v>
      </c>
      <c r="K8">
        <v>84</v>
      </c>
      <c r="L8" s="1" t="s">
        <v>39</v>
      </c>
      <c r="M8" s="1" t="s">
        <v>20</v>
      </c>
      <c r="N8">
        <v>0.04</v>
      </c>
      <c r="O8">
        <v>57230.48</v>
      </c>
    </row>
    <row r="9" spans="1:15" x14ac:dyDescent="0.3">
      <c r="A9" s="1" t="s">
        <v>40</v>
      </c>
      <c r="B9" s="1" t="s">
        <v>41</v>
      </c>
      <c r="C9" s="1" t="s">
        <v>38</v>
      </c>
      <c r="D9">
        <v>3</v>
      </c>
      <c r="E9">
        <v>4</v>
      </c>
      <c r="F9">
        <v>2125</v>
      </c>
      <c r="G9">
        <v>1251341</v>
      </c>
      <c r="H9">
        <v>1190977</v>
      </c>
      <c r="I9" s="2">
        <v>45151</v>
      </c>
      <c r="J9" s="2">
        <v>45219</v>
      </c>
      <c r="K9">
        <v>68</v>
      </c>
      <c r="L9" s="1" t="s">
        <v>42</v>
      </c>
      <c r="M9" s="1" t="s">
        <v>20</v>
      </c>
      <c r="N9">
        <v>0.05</v>
      </c>
      <c r="O9">
        <v>59548.85</v>
      </c>
    </row>
    <row r="10" spans="1:15" x14ac:dyDescent="0.3">
      <c r="A10" s="1" t="s">
        <v>43</v>
      </c>
      <c r="B10" s="1" t="s">
        <v>32</v>
      </c>
      <c r="C10" s="1" t="s">
        <v>23</v>
      </c>
      <c r="D10">
        <v>5</v>
      </c>
      <c r="E10">
        <v>2</v>
      </c>
      <c r="F10">
        <v>1083</v>
      </c>
      <c r="G10">
        <v>480968</v>
      </c>
      <c r="H10">
        <v>447333</v>
      </c>
      <c r="I10" s="2">
        <v>44938</v>
      </c>
      <c r="J10" s="2">
        <v>44997</v>
      </c>
      <c r="K10">
        <v>59</v>
      </c>
      <c r="L10" s="1" t="s">
        <v>44</v>
      </c>
      <c r="M10" s="1" t="s">
        <v>28</v>
      </c>
      <c r="N10">
        <v>0.05</v>
      </c>
      <c r="O10">
        <v>22366.65</v>
      </c>
    </row>
    <row r="11" spans="1:15" x14ac:dyDescent="0.3">
      <c r="A11" s="1" t="s">
        <v>45</v>
      </c>
      <c r="B11" s="1" t="s">
        <v>41</v>
      </c>
      <c r="C11" s="1" t="s">
        <v>38</v>
      </c>
      <c r="D11">
        <v>4</v>
      </c>
      <c r="E11">
        <v>1</v>
      </c>
      <c r="F11">
        <v>2424</v>
      </c>
      <c r="G11">
        <v>1269773</v>
      </c>
      <c r="H11">
        <v>1251929</v>
      </c>
      <c r="I11" s="2">
        <v>45009</v>
      </c>
      <c r="J11" s="2">
        <v>45065</v>
      </c>
      <c r="K11">
        <v>56</v>
      </c>
      <c r="L11" s="1" t="s">
        <v>30</v>
      </c>
      <c r="M11" s="1" t="s">
        <v>20</v>
      </c>
      <c r="N11">
        <v>0.04</v>
      </c>
      <c r="O11">
        <v>50077.16</v>
      </c>
    </row>
    <row r="12" spans="1:15" x14ac:dyDescent="0.3">
      <c r="A12" s="1" t="s">
        <v>46</v>
      </c>
      <c r="B12" s="1" t="s">
        <v>17</v>
      </c>
      <c r="C12" s="1" t="s">
        <v>23</v>
      </c>
      <c r="D12">
        <v>3</v>
      </c>
      <c r="E12">
        <v>3</v>
      </c>
      <c r="F12">
        <v>1302</v>
      </c>
      <c r="G12">
        <v>1181966</v>
      </c>
      <c r="H12">
        <v>1137550</v>
      </c>
      <c r="I12" s="2">
        <v>45535</v>
      </c>
      <c r="J12" s="2">
        <v>45623</v>
      </c>
      <c r="K12">
        <v>88</v>
      </c>
      <c r="L12" s="1" t="s">
        <v>19</v>
      </c>
      <c r="M12" s="1" t="s">
        <v>24</v>
      </c>
      <c r="N12">
        <v>0.04</v>
      </c>
      <c r="O12">
        <v>45502</v>
      </c>
    </row>
    <row r="13" spans="1:15" x14ac:dyDescent="0.3">
      <c r="A13" s="1" t="s">
        <v>47</v>
      </c>
      <c r="B13" s="1" t="s">
        <v>48</v>
      </c>
      <c r="C13" s="1" t="s">
        <v>38</v>
      </c>
      <c r="D13">
        <v>4</v>
      </c>
      <c r="E13">
        <v>2</v>
      </c>
      <c r="F13">
        <v>2330</v>
      </c>
      <c r="G13">
        <v>1132711</v>
      </c>
      <c r="H13">
        <v>1097484</v>
      </c>
      <c r="I13" s="2">
        <v>44931</v>
      </c>
      <c r="J13" s="2">
        <v>44978</v>
      </c>
      <c r="K13">
        <v>47</v>
      </c>
      <c r="L13" s="1" t="s">
        <v>19</v>
      </c>
      <c r="M13" s="1" t="s">
        <v>24</v>
      </c>
      <c r="N13">
        <v>0.05</v>
      </c>
      <c r="O13">
        <v>54874.2</v>
      </c>
    </row>
    <row r="14" spans="1:15" x14ac:dyDescent="0.3">
      <c r="A14" s="1" t="s">
        <v>49</v>
      </c>
      <c r="B14" s="1" t="s">
        <v>41</v>
      </c>
      <c r="C14" s="1" t="s">
        <v>35</v>
      </c>
      <c r="D14">
        <v>3</v>
      </c>
      <c r="E14">
        <v>1</v>
      </c>
      <c r="F14">
        <v>2909</v>
      </c>
      <c r="G14">
        <v>889263</v>
      </c>
      <c r="H14">
        <v>885519</v>
      </c>
      <c r="I14" s="2">
        <v>45614</v>
      </c>
      <c r="J14" s="2">
        <v>45625</v>
      </c>
      <c r="K14">
        <v>11</v>
      </c>
      <c r="L14" s="1" t="s">
        <v>19</v>
      </c>
      <c r="M14" s="1" t="s">
        <v>24</v>
      </c>
      <c r="N14">
        <v>0.04</v>
      </c>
      <c r="O14">
        <v>35420.76</v>
      </c>
    </row>
    <row r="15" spans="1:15" x14ac:dyDescent="0.3">
      <c r="A15" s="1" t="s">
        <v>50</v>
      </c>
      <c r="B15" s="1" t="s">
        <v>17</v>
      </c>
      <c r="C15" s="1" t="s">
        <v>18</v>
      </c>
      <c r="D15">
        <v>2</v>
      </c>
      <c r="E15">
        <v>3</v>
      </c>
      <c r="F15">
        <v>3067</v>
      </c>
      <c r="G15">
        <v>1446681</v>
      </c>
      <c r="H15">
        <v>1368488</v>
      </c>
      <c r="I15" s="2">
        <v>45096</v>
      </c>
      <c r="J15" s="2">
        <v>45141</v>
      </c>
      <c r="K15">
        <v>45</v>
      </c>
      <c r="L15" s="1" t="s">
        <v>51</v>
      </c>
      <c r="M15" s="1" t="s">
        <v>28</v>
      </c>
      <c r="N15">
        <v>4.4999999999999998E-2</v>
      </c>
      <c r="O15">
        <v>61581.96</v>
      </c>
    </row>
    <row r="16" spans="1:15" x14ac:dyDescent="0.3">
      <c r="A16" s="1" t="s">
        <v>52</v>
      </c>
      <c r="B16" s="1" t="s">
        <v>26</v>
      </c>
      <c r="C16" s="1" t="s">
        <v>35</v>
      </c>
      <c r="D16">
        <v>2</v>
      </c>
      <c r="E16">
        <v>1</v>
      </c>
      <c r="F16">
        <v>3345</v>
      </c>
      <c r="G16">
        <v>1306639</v>
      </c>
      <c r="H16">
        <v>1303452</v>
      </c>
      <c r="I16" s="2">
        <v>45225</v>
      </c>
      <c r="J16" s="2">
        <v>45247</v>
      </c>
      <c r="K16">
        <v>22</v>
      </c>
      <c r="L16" s="1" t="s">
        <v>53</v>
      </c>
      <c r="M16" s="1" t="s">
        <v>20</v>
      </c>
      <c r="N16">
        <v>0.05</v>
      </c>
      <c r="O16">
        <v>65172.6</v>
      </c>
    </row>
    <row r="17" spans="1:15" x14ac:dyDescent="0.3">
      <c r="A17" s="1" t="s">
        <v>54</v>
      </c>
      <c r="B17" s="1" t="s">
        <v>26</v>
      </c>
      <c r="C17" s="1" t="s">
        <v>18</v>
      </c>
      <c r="D17">
        <v>4</v>
      </c>
      <c r="E17">
        <v>2</v>
      </c>
      <c r="F17">
        <v>1520</v>
      </c>
      <c r="G17">
        <v>618475</v>
      </c>
      <c r="H17">
        <v>575335</v>
      </c>
      <c r="I17" s="2">
        <v>45497</v>
      </c>
      <c r="J17" s="2">
        <v>45533</v>
      </c>
      <c r="K17">
        <v>36</v>
      </c>
      <c r="L17" s="1" t="s">
        <v>19</v>
      </c>
      <c r="M17" s="1" t="s">
        <v>28</v>
      </c>
      <c r="N17">
        <v>0.05</v>
      </c>
      <c r="O17">
        <v>28766.75</v>
      </c>
    </row>
    <row r="18" spans="1:15" x14ac:dyDescent="0.3">
      <c r="A18" s="1" t="s">
        <v>55</v>
      </c>
      <c r="B18" s="1" t="s">
        <v>17</v>
      </c>
      <c r="C18" s="1" t="s">
        <v>35</v>
      </c>
      <c r="D18">
        <v>5</v>
      </c>
      <c r="E18">
        <v>2</v>
      </c>
      <c r="F18">
        <v>772</v>
      </c>
      <c r="G18">
        <v>1292895</v>
      </c>
      <c r="H18">
        <v>1247705</v>
      </c>
      <c r="I18" s="2">
        <v>45281</v>
      </c>
      <c r="J18" s="2">
        <v>45330</v>
      </c>
      <c r="K18">
        <v>49</v>
      </c>
      <c r="L18" s="1" t="s">
        <v>44</v>
      </c>
      <c r="M18" s="1" t="s">
        <v>20</v>
      </c>
      <c r="N18">
        <v>0.04</v>
      </c>
      <c r="O18">
        <v>49908.2</v>
      </c>
    </row>
    <row r="19" spans="1:15" x14ac:dyDescent="0.3">
      <c r="A19" s="1" t="s">
        <v>56</v>
      </c>
      <c r="B19" s="1" t="s">
        <v>32</v>
      </c>
      <c r="C19" s="1" t="s">
        <v>18</v>
      </c>
      <c r="D19">
        <v>2</v>
      </c>
      <c r="E19">
        <v>1</v>
      </c>
      <c r="F19">
        <v>2652</v>
      </c>
      <c r="G19">
        <v>1707005</v>
      </c>
      <c r="H19">
        <v>1650320</v>
      </c>
      <c r="I19" s="2">
        <v>45166</v>
      </c>
      <c r="J19" s="2">
        <v>45231</v>
      </c>
      <c r="K19">
        <v>65</v>
      </c>
      <c r="L19" s="1" t="s">
        <v>44</v>
      </c>
      <c r="M19" s="1" t="s">
        <v>20</v>
      </c>
      <c r="N19">
        <v>0.05</v>
      </c>
      <c r="O19">
        <v>82516</v>
      </c>
    </row>
    <row r="20" spans="1:15" x14ac:dyDescent="0.3">
      <c r="A20" s="1" t="s">
        <v>57</v>
      </c>
      <c r="B20" s="1" t="s">
        <v>41</v>
      </c>
      <c r="C20" s="1" t="s">
        <v>38</v>
      </c>
      <c r="D20">
        <v>2</v>
      </c>
      <c r="E20">
        <v>2</v>
      </c>
      <c r="F20">
        <v>975</v>
      </c>
      <c r="G20">
        <v>445754</v>
      </c>
      <c r="H20">
        <v>438845</v>
      </c>
      <c r="I20" s="2">
        <v>45113</v>
      </c>
      <c r="J20" s="2">
        <v>45180</v>
      </c>
      <c r="K20">
        <v>67</v>
      </c>
      <c r="L20" s="1" t="s">
        <v>30</v>
      </c>
      <c r="M20" s="1" t="s">
        <v>20</v>
      </c>
      <c r="N20">
        <v>4.4999999999999998E-2</v>
      </c>
      <c r="O20">
        <v>19748.02</v>
      </c>
    </row>
    <row r="21" spans="1:15" x14ac:dyDescent="0.3">
      <c r="A21" s="1" t="s">
        <v>58</v>
      </c>
      <c r="B21" s="1" t="s">
        <v>59</v>
      </c>
      <c r="C21" s="1" t="s">
        <v>23</v>
      </c>
      <c r="D21">
        <v>5</v>
      </c>
      <c r="E21">
        <v>3</v>
      </c>
      <c r="F21">
        <v>1617</v>
      </c>
      <c r="G21">
        <v>1795963</v>
      </c>
      <c r="H21">
        <v>1782475</v>
      </c>
      <c r="I21" s="2">
        <v>45289</v>
      </c>
      <c r="J21" s="2">
        <v>45379</v>
      </c>
      <c r="K21">
        <v>90</v>
      </c>
      <c r="L21" s="1" t="s">
        <v>42</v>
      </c>
      <c r="M21" s="1" t="s">
        <v>20</v>
      </c>
      <c r="N21">
        <v>0.05</v>
      </c>
      <c r="O21">
        <v>89123.75</v>
      </c>
    </row>
    <row r="22" spans="1:15" x14ac:dyDescent="0.3">
      <c r="A22" s="1" t="s">
        <v>60</v>
      </c>
      <c r="B22" s="1" t="s">
        <v>59</v>
      </c>
      <c r="C22" s="1" t="s">
        <v>35</v>
      </c>
      <c r="D22">
        <v>3</v>
      </c>
      <c r="E22">
        <v>4</v>
      </c>
      <c r="F22">
        <v>907</v>
      </c>
      <c r="G22">
        <v>976137</v>
      </c>
      <c r="H22">
        <v>908171</v>
      </c>
      <c r="I22" s="2">
        <v>45079</v>
      </c>
      <c r="J22" s="2">
        <v>45092</v>
      </c>
      <c r="K22">
        <v>13</v>
      </c>
      <c r="L22" s="1" t="s">
        <v>42</v>
      </c>
      <c r="M22" s="1" t="s">
        <v>20</v>
      </c>
      <c r="N22">
        <v>0.04</v>
      </c>
      <c r="O22">
        <v>36326.839999999997</v>
      </c>
    </row>
    <row r="23" spans="1:15" x14ac:dyDescent="0.3">
      <c r="A23" s="1" t="s">
        <v>61</v>
      </c>
      <c r="B23" s="1" t="s">
        <v>48</v>
      </c>
      <c r="C23" s="1" t="s">
        <v>23</v>
      </c>
      <c r="D23">
        <v>1</v>
      </c>
      <c r="E23">
        <v>1</v>
      </c>
      <c r="F23">
        <v>1518</v>
      </c>
      <c r="G23">
        <v>611348</v>
      </c>
      <c r="H23">
        <v>580718</v>
      </c>
      <c r="I23" s="2">
        <v>45042</v>
      </c>
      <c r="J23" s="2">
        <v>45122</v>
      </c>
      <c r="K23">
        <v>80</v>
      </c>
      <c r="L23" s="1" t="s">
        <v>42</v>
      </c>
      <c r="M23" s="1" t="s">
        <v>28</v>
      </c>
      <c r="N23">
        <v>0.04</v>
      </c>
      <c r="O23">
        <v>23228.720000000001</v>
      </c>
    </row>
    <row r="24" spans="1:15" x14ac:dyDescent="0.3">
      <c r="A24" s="1" t="s">
        <v>62</v>
      </c>
      <c r="B24" s="1" t="s">
        <v>48</v>
      </c>
      <c r="C24" s="1" t="s">
        <v>38</v>
      </c>
      <c r="D24">
        <v>1</v>
      </c>
      <c r="E24">
        <v>4</v>
      </c>
      <c r="F24">
        <v>2837</v>
      </c>
      <c r="G24">
        <v>864858</v>
      </c>
      <c r="H24">
        <v>840811</v>
      </c>
      <c r="I24" s="2">
        <v>45575</v>
      </c>
      <c r="J24" s="2">
        <v>45591</v>
      </c>
      <c r="K24">
        <v>16</v>
      </c>
      <c r="L24" s="1" t="s">
        <v>51</v>
      </c>
      <c r="M24" s="1" t="s">
        <v>28</v>
      </c>
      <c r="N24">
        <v>0.05</v>
      </c>
      <c r="O24">
        <v>42040.55</v>
      </c>
    </row>
    <row r="25" spans="1:15" x14ac:dyDescent="0.3">
      <c r="A25" s="1" t="s">
        <v>63</v>
      </c>
      <c r="B25" s="1" t="s">
        <v>17</v>
      </c>
      <c r="C25" s="1" t="s">
        <v>23</v>
      </c>
      <c r="D25">
        <v>4</v>
      </c>
      <c r="E25">
        <v>2</v>
      </c>
      <c r="F25">
        <v>2332</v>
      </c>
      <c r="G25">
        <v>433760</v>
      </c>
      <c r="H25">
        <v>393102</v>
      </c>
      <c r="I25" s="2">
        <v>45064</v>
      </c>
      <c r="J25" s="2">
        <v>45099</v>
      </c>
      <c r="K25">
        <v>35</v>
      </c>
      <c r="L25" s="1" t="s">
        <v>39</v>
      </c>
      <c r="M25" s="1" t="s">
        <v>28</v>
      </c>
      <c r="N25">
        <v>4.4999999999999998E-2</v>
      </c>
      <c r="O25">
        <v>17689.59</v>
      </c>
    </row>
    <row r="26" spans="1:15" x14ac:dyDescent="0.3">
      <c r="A26" s="1" t="s">
        <v>64</v>
      </c>
      <c r="B26" s="1" t="s">
        <v>22</v>
      </c>
      <c r="C26" s="1" t="s">
        <v>38</v>
      </c>
      <c r="D26">
        <v>1</v>
      </c>
      <c r="E26">
        <v>1</v>
      </c>
      <c r="F26">
        <v>2741</v>
      </c>
      <c r="G26">
        <v>1410949</v>
      </c>
      <c r="H26">
        <v>1391879</v>
      </c>
      <c r="I26" s="2">
        <v>45059</v>
      </c>
      <c r="J26" s="2">
        <v>45093</v>
      </c>
      <c r="K26">
        <v>34</v>
      </c>
      <c r="L26" s="1" t="s">
        <v>39</v>
      </c>
      <c r="M26" s="1" t="s">
        <v>24</v>
      </c>
      <c r="N26">
        <v>4.4999999999999998E-2</v>
      </c>
      <c r="O26">
        <v>62634.559999999998</v>
      </c>
    </row>
    <row r="27" spans="1:15" x14ac:dyDescent="0.3">
      <c r="A27" s="1" t="s">
        <v>65</v>
      </c>
      <c r="B27" s="1" t="s">
        <v>26</v>
      </c>
      <c r="C27" s="1" t="s">
        <v>18</v>
      </c>
      <c r="D27">
        <v>2</v>
      </c>
      <c r="E27">
        <v>2</v>
      </c>
      <c r="F27">
        <v>1627</v>
      </c>
      <c r="G27">
        <v>1396973</v>
      </c>
      <c r="H27">
        <v>1363963</v>
      </c>
      <c r="I27" s="2">
        <v>45425</v>
      </c>
      <c r="J27" s="2">
        <v>45464</v>
      </c>
      <c r="K27">
        <v>39</v>
      </c>
      <c r="L27" s="1" t="s">
        <v>19</v>
      </c>
      <c r="M27" s="1" t="s">
        <v>28</v>
      </c>
      <c r="N27">
        <v>4.4999999999999998E-2</v>
      </c>
      <c r="O27">
        <v>61378.33</v>
      </c>
    </row>
    <row r="28" spans="1:15" x14ac:dyDescent="0.3">
      <c r="A28" s="1" t="s">
        <v>66</v>
      </c>
      <c r="B28" s="1" t="s">
        <v>17</v>
      </c>
      <c r="C28" s="1" t="s">
        <v>33</v>
      </c>
      <c r="D28">
        <v>2</v>
      </c>
      <c r="E28">
        <v>2</v>
      </c>
      <c r="F28">
        <v>622</v>
      </c>
      <c r="G28">
        <v>1793447</v>
      </c>
      <c r="H28">
        <v>1776514</v>
      </c>
      <c r="I28" s="2">
        <v>45571</v>
      </c>
      <c r="J28" s="2">
        <v>45605</v>
      </c>
      <c r="K28">
        <v>34</v>
      </c>
      <c r="L28" s="1" t="s">
        <v>51</v>
      </c>
      <c r="M28" s="1" t="s">
        <v>20</v>
      </c>
      <c r="N28">
        <v>4.4999999999999998E-2</v>
      </c>
      <c r="O28">
        <v>79943.13</v>
      </c>
    </row>
    <row r="29" spans="1:15" x14ac:dyDescent="0.3">
      <c r="A29" s="1" t="s">
        <v>67</v>
      </c>
      <c r="B29" s="1" t="s">
        <v>17</v>
      </c>
      <c r="C29" s="1" t="s">
        <v>33</v>
      </c>
      <c r="D29">
        <v>5</v>
      </c>
      <c r="E29">
        <v>3</v>
      </c>
      <c r="F29">
        <v>1352</v>
      </c>
      <c r="G29">
        <v>1142693</v>
      </c>
      <c r="H29">
        <v>1136958</v>
      </c>
      <c r="I29" s="2">
        <v>45225</v>
      </c>
      <c r="J29" s="2">
        <v>45245</v>
      </c>
      <c r="K29">
        <v>20</v>
      </c>
      <c r="L29" s="1" t="s">
        <v>44</v>
      </c>
      <c r="M29" s="1" t="s">
        <v>28</v>
      </c>
      <c r="N29">
        <v>4.4999999999999998E-2</v>
      </c>
      <c r="O29">
        <v>51163.11</v>
      </c>
    </row>
    <row r="30" spans="1:15" x14ac:dyDescent="0.3">
      <c r="A30" s="1" t="s">
        <v>68</v>
      </c>
      <c r="B30" s="1" t="s">
        <v>22</v>
      </c>
      <c r="C30" s="1" t="s">
        <v>35</v>
      </c>
      <c r="D30">
        <v>3</v>
      </c>
      <c r="E30">
        <v>2</v>
      </c>
      <c r="F30">
        <v>553</v>
      </c>
      <c r="G30">
        <v>521193</v>
      </c>
      <c r="H30">
        <v>442001</v>
      </c>
      <c r="I30" s="2">
        <v>45478</v>
      </c>
      <c r="J30" s="2">
        <v>45568</v>
      </c>
      <c r="K30">
        <v>90</v>
      </c>
      <c r="L30" s="1" t="s">
        <v>42</v>
      </c>
      <c r="M30" s="1" t="s">
        <v>20</v>
      </c>
      <c r="N30">
        <v>4.4999999999999998E-2</v>
      </c>
      <c r="O30">
        <v>19890.04</v>
      </c>
    </row>
    <row r="31" spans="1:15" x14ac:dyDescent="0.3">
      <c r="A31" s="1" t="s">
        <v>69</v>
      </c>
      <c r="B31" s="1" t="s">
        <v>22</v>
      </c>
      <c r="C31" s="1" t="s">
        <v>33</v>
      </c>
      <c r="D31">
        <v>5</v>
      </c>
      <c r="E31">
        <v>3</v>
      </c>
      <c r="F31">
        <v>694</v>
      </c>
      <c r="G31">
        <v>410868</v>
      </c>
      <c r="H31">
        <v>355818</v>
      </c>
      <c r="I31" s="2">
        <v>45604</v>
      </c>
      <c r="J31" s="2">
        <v>45621</v>
      </c>
      <c r="K31">
        <v>17</v>
      </c>
      <c r="L31" s="1" t="s">
        <v>42</v>
      </c>
      <c r="M31" s="1" t="s">
        <v>20</v>
      </c>
      <c r="N31">
        <v>0.04</v>
      </c>
      <c r="O31">
        <v>14232.72</v>
      </c>
    </row>
    <row r="32" spans="1:15" x14ac:dyDescent="0.3">
      <c r="A32" s="1" t="s">
        <v>70</v>
      </c>
      <c r="B32" s="1" t="s">
        <v>59</v>
      </c>
      <c r="C32" s="1" t="s">
        <v>33</v>
      </c>
      <c r="D32">
        <v>1</v>
      </c>
      <c r="E32">
        <v>2</v>
      </c>
      <c r="F32">
        <v>1173</v>
      </c>
      <c r="G32">
        <v>967638</v>
      </c>
      <c r="H32">
        <v>910249</v>
      </c>
      <c r="I32" s="2">
        <v>45384</v>
      </c>
      <c r="J32" s="2">
        <v>45408</v>
      </c>
      <c r="K32">
        <v>24</v>
      </c>
      <c r="L32" s="1" t="s">
        <v>30</v>
      </c>
      <c r="M32" s="1" t="s">
        <v>28</v>
      </c>
      <c r="N32">
        <v>4.4999999999999998E-2</v>
      </c>
      <c r="O32">
        <v>40961.21</v>
      </c>
    </row>
    <row r="33" spans="1:15" x14ac:dyDescent="0.3">
      <c r="A33" s="1" t="s">
        <v>71</v>
      </c>
      <c r="B33" s="1" t="s">
        <v>26</v>
      </c>
      <c r="C33" s="1" t="s">
        <v>23</v>
      </c>
      <c r="D33">
        <v>3</v>
      </c>
      <c r="E33">
        <v>1</v>
      </c>
      <c r="F33">
        <v>1190</v>
      </c>
      <c r="G33">
        <v>635295</v>
      </c>
      <c r="H33">
        <v>572712</v>
      </c>
      <c r="I33" s="2">
        <v>45113</v>
      </c>
      <c r="J33" s="2">
        <v>45145</v>
      </c>
      <c r="K33">
        <v>32</v>
      </c>
      <c r="L33" s="1" t="s">
        <v>42</v>
      </c>
      <c r="M33" s="1" t="s">
        <v>28</v>
      </c>
      <c r="N33">
        <v>4.4999999999999998E-2</v>
      </c>
      <c r="O33">
        <v>25772.04</v>
      </c>
    </row>
    <row r="34" spans="1:15" x14ac:dyDescent="0.3">
      <c r="A34" s="1" t="s">
        <v>72</v>
      </c>
      <c r="B34" s="1" t="s">
        <v>48</v>
      </c>
      <c r="C34" s="1" t="s">
        <v>35</v>
      </c>
      <c r="D34">
        <v>1</v>
      </c>
      <c r="E34">
        <v>3</v>
      </c>
      <c r="F34">
        <v>1146</v>
      </c>
      <c r="G34">
        <v>1661392</v>
      </c>
      <c r="H34">
        <v>1614013</v>
      </c>
      <c r="I34" s="2">
        <v>45485</v>
      </c>
      <c r="J34" s="2">
        <v>45557</v>
      </c>
      <c r="K34">
        <v>72</v>
      </c>
      <c r="L34" s="1" t="s">
        <v>51</v>
      </c>
      <c r="M34" s="1" t="s">
        <v>20</v>
      </c>
      <c r="N34">
        <v>0.05</v>
      </c>
      <c r="O34">
        <v>80700.649999999994</v>
      </c>
    </row>
    <row r="35" spans="1:15" x14ac:dyDescent="0.3">
      <c r="A35" s="1" t="s">
        <v>73</v>
      </c>
      <c r="B35" s="1" t="s">
        <v>37</v>
      </c>
      <c r="C35" s="1" t="s">
        <v>35</v>
      </c>
      <c r="D35">
        <v>4</v>
      </c>
      <c r="E35">
        <v>1</v>
      </c>
      <c r="F35">
        <v>1169</v>
      </c>
      <c r="G35">
        <v>800221</v>
      </c>
      <c r="H35">
        <v>784097</v>
      </c>
      <c r="I35" s="2">
        <v>45387</v>
      </c>
      <c r="J35" s="2">
        <v>45419</v>
      </c>
      <c r="K35">
        <v>32</v>
      </c>
      <c r="L35" s="1" t="s">
        <v>51</v>
      </c>
      <c r="M35" s="1" t="s">
        <v>20</v>
      </c>
      <c r="N35">
        <v>0.04</v>
      </c>
      <c r="O35">
        <v>31363.88</v>
      </c>
    </row>
    <row r="36" spans="1:15" x14ac:dyDescent="0.3">
      <c r="A36" s="1" t="s">
        <v>74</v>
      </c>
      <c r="B36" s="1" t="s">
        <v>37</v>
      </c>
      <c r="C36" s="1" t="s">
        <v>38</v>
      </c>
      <c r="D36">
        <v>4</v>
      </c>
      <c r="E36">
        <v>1</v>
      </c>
      <c r="F36">
        <v>2553</v>
      </c>
      <c r="G36">
        <v>563416</v>
      </c>
      <c r="H36">
        <v>520533</v>
      </c>
      <c r="I36" s="2">
        <v>45167</v>
      </c>
      <c r="J36" s="2">
        <v>45235</v>
      </c>
      <c r="K36">
        <v>68</v>
      </c>
      <c r="L36" s="1" t="s">
        <v>27</v>
      </c>
      <c r="M36" s="1" t="s">
        <v>24</v>
      </c>
      <c r="N36">
        <v>0.04</v>
      </c>
      <c r="O36">
        <v>20821.32</v>
      </c>
    </row>
    <row r="37" spans="1:15" x14ac:dyDescent="0.3">
      <c r="A37" s="1" t="s">
        <v>75</v>
      </c>
      <c r="B37" s="1" t="s">
        <v>37</v>
      </c>
      <c r="C37" s="1" t="s">
        <v>33</v>
      </c>
      <c r="D37">
        <v>3</v>
      </c>
      <c r="E37">
        <v>2</v>
      </c>
      <c r="F37">
        <v>2166</v>
      </c>
      <c r="G37">
        <v>1103961</v>
      </c>
      <c r="H37">
        <v>1033890</v>
      </c>
      <c r="I37" s="2">
        <v>45302</v>
      </c>
      <c r="J37" s="2">
        <v>45353</v>
      </c>
      <c r="K37">
        <v>51</v>
      </c>
      <c r="L37" s="1" t="s">
        <v>42</v>
      </c>
      <c r="M37" s="1" t="s">
        <v>28</v>
      </c>
      <c r="N37">
        <v>0.04</v>
      </c>
      <c r="O37">
        <v>41355.599999999999</v>
      </c>
    </row>
    <row r="38" spans="1:15" x14ac:dyDescent="0.3">
      <c r="A38" s="1" t="s">
        <v>76</v>
      </c>
      <c r="B38" s="1" t="s">
        <v>59</v>
      </c>
      <c r="C38" s="1" t="s">
        <v>38</v>
      </c>
      <c r="D38">
        <v>3</v>
      </c>
      <c r="E38">
        <v>3</v>
      </c>
      <c r="F38">
        <v>2036</v>
      </c>
      <c r="G38">
        <v>1372020</v>
      </c>
      <c r="H38">
        <v>1345553</v>
      </c>
      <c r="I38" s="2">
        <v>45066</v>
      </c>
      <c r="J38" s="2">
        <v>45154</v>
      </c>
      <c r="K38">
        <v>88</v>
      </c>
      <c r="L38" s="1" t="s">
        <v>19</v>
      </c>
      <c r="M38" s="1" t="s">
        <v>28</v>
      </c>
      <c r="N38">
        <v>0.05</v>
      </c>
      <c r="O38">
        <v>67277.649999999994</v>
      </c>
    </row>
    <row r="39" spans="1:15" x14ac:dyDescent="0.3">
      <c r="A39" s="1" t="s">
        <v>77</v>
      </c>
      <c r="B39" s="1" t="s">
        <v>22</v>
      </c>
      <c r="C39" s="1" t="s">
        <v>23</v>
      </c>
      <c r="D39">
        <v>2</v>
      </c>
      <c r="E39">
        <v>2</v>
      </c>
      <c r="F39">
        <v>1653</v>
      </c>
      <c r="G39">
        <v>1254121</v>
      </c>
      <c r="H39">
        <v>1201214</v>
      </c>
      <c r="I39" s="2">
        <v>45442</v>
      </c>
      <c r="J39" s="2">
        <v>45460</v>
      </c>
      <c r="K39">
        <v>18</v>
      </c>
      <c r="L39" s="1" t="s">
        <v>42</v>
      </c>
      <c r="M39" s="1" t="s">
        <v>24</v>
      </c>
      <c r="N39">
        <v>0.04</v>
      </c>
      <c r="O39">
        <v>48048.56</v>
      </c>
    </row>
    <row r="40" spans="1:15" x14ac:dyDescent="0.3">
      <c r="A40" s="1" t="s">
        <v>78</v>
      </c>
      <c r="B40" s="1" t="s">
        <v>37</v>
      </c>
      <c r="C40" s="1" t="s">
        <v>38</v>
      </c>
      <c r="D40">
        <v>4</v>
      </c>
      <c r="E40">
        <v>3</v>
      </c>
      <c r="F40">
        <v>1710</v>
      </c>
      <c r="G40">
        <v>871753</v>
      </c>
      <c r="H40">
        <v>792511</v>
      </c>
      <c r="I40" s="2">
        <v>45196</v>
      </c>
      <c r="J40" s="2">
        <v>45255</v>
      </c>
      <c r="K40">
        <v>59</v>
      </c>
      <c r="L40" s="1" t="s">
        <v>39</v>
      </c>
      <c r="M40" s="1" t="s">
        <v>28</v>
      </c>
      <c r="N40">
        <v>0.04</v>
      </c>
      <c r="O40">
        <v>31700.44</v>
      </c>
    </row>
    <row r="41" spans="1:15" x14ac:dyDescent="0.3">
      <c r="A41" s="1" t="s">
        <v>79</v>
      </c>
      <c r="B41" s="1" t="s">
        <v>37</v>
      </c>
      <c r="C41" s="1" t="s">
        <v>33</v>
      </c>
      <c r="D41">
        <v>1</v>
      </c>
      <c r="E41">
        <v>4</v>
      </c>
      <c r="F41">
        <v>3057</v>
      </c>
      <c r="G41">
        <v>1415024</v>
      </c>
      <c r="H41">
        <v>1374245</v>
      </c>
      <c r="I41" s="2">
        <v>45368</v>
      </c>
      <c r="J41" s="2">
        <v>45435</v>
      </c>
      <c r="K41">
        <v>67</v>
      </c>
      <c r="L41" s="1" t="s">
        <v>39</v>
      </c>
      <c r="M41" s="1" t="s">
        <v>28</v>
      </c>
      <c r="N41">
        <v>0.05</v>
      </c>
      <c r="O41">
        <v>68712.25</v>
      </c>
    </row>
    <row r="42" spans="1:15" x14ac:dyDescent="0.3">
      <c r="A42" s="1" t="s">
        <v>80</v>
      </c>
      <c r="B42" s="1" t="s">
        <v>41</v>
      </c>
      <c r="C42" s="1" t="s">
        <v>35</v>
      </c>
      <c r="D42">
        <v>3</v>
      </c>
      <c r="E42">
        <v>1</v>
      </c>
      <c r="F42">
        <v>2380</v>
      </c>
      <c r="G42">
        <v>1594889</v>
      </c>
      <c r="H42">
        <v>1568352</v>
      </c>
      <c r="I42" s="2">
        <v>45299</v>
      </c>
      <c r="J42" s="2">
        <v>45358</v>
      </c>
      <c r="K42">
        <v>59</v>
      </c>
      <c r="L42" s="1" t="s">
        <v>19</v>
      </c>
      <c r="M42" s="1" t="s">
        <v>28</v>
      </c>
      <c r="N42">
        <v>4.4999999999999998E-2</v>
      </c>
      <c r="O42">
        <v>70575.839999999997</v>
      </c>
    </row>
    <row r="43" spans="1:15" x14ac:dyDescent="0.3">
      <c r="A43" s="1" t="s">
        <v>81</v>
      </c>
      <c r="B43" s="1" t="s">
        <v>59</v>
      </c>
      <c r="C43" s="1" t="s">
        <v>38</v>
      </c>
      <c r="D43">
        <v>3</v>
      </c>
      <c r="E43">
        <v>4</v>
      </c>
      <c r="F43">
        <v>1828</v>
      </c>
      <c r="G43">
        <v>598458</v>
      </c>
      <c r="H43">
        <v>548566</v>
      </c>
      <c r="I43" s="2">
        <v>45583</v>
      </c>
      <c r="J43" s="2">
        <v>45595</v>
      </c>
      <c r="K43">
        <v>12</v>
      </c>
      <c r="L43" s="1" t="s">
        <v>30</v>
      </c>
      <c r="M43" s="1" t="s">
        <v>28</v>
      </c>
      <c r="N43">
        <v>0.04</v>
      </c>
      <c r="O43">
        <v>21942.639999999999</v>
      </c>
    </row>
    <row r="44" spans="1:15" x14ac:dyDescent="0.3">
      <c r="A44" s="1" t="s">
        <v>82</v>
      </c>
      <c r="B44" s="1" t="s">
        <v>41</v>
      </c>
      <c r="C44" s="1" t="s">
        <v>23</v>
      </c>
      <c r="D44">
        <v>5</v>
      </c>
      <c r="E44">
        <v>4</v>
      </c>
      <c r="F44">
        <v>2339</v>
      </c>
      <c r="G44">
        <v>1071759</v>
      </c>
      <c r="H44">
        <v>1070235</v>
      </c>
      <c r="I44" s="2">
        <v>45570</v>
      </c>
      <c r="J44" s="2">
        <v>45656</v>
      </c>
      <c r="K44">
        <v>86</v>
      </c>
      <c r="L44" s="1" t="s">
        <v>30</v>
      </c>
      <c r="M44" s="1" t="s">
        <v>24</v>
      </c>
      <c r="N44">
        <v>0.05</v>
      </c>
      <c r="O44">
        <v>53511.75</v>
      </c>
    </row>
    <row r="45" spans="1:15" x14ac:dyDescent="0.3">
      <c r="A45" s="1" t="s">
        <v>83</v>
      </c>
      <c r="B45" s="1" t="s">
        <v>37</v>
      </c>
      <c r="C45" s="1" t="s">
        <v>18</v>
      </c>
      <c r="D45">
        <v>3</v>
      </c>
      <c r="E45">
        <v>3</v>
      </c>
      <c r="F45">
        <v>2554</v>
      </c>
      <c r="G45">
        <v>1244772</v>
      </c>
      <c r="H45">
        <v>1191476</v>
      </c>
      <c r="I45" s="2">
        <v>45080</v>
      </c>
      <c r="J45" s="2">
        <v>45109</v>
      </c>
      <c r="K45">
        <v>29</v>
      </c>
      <c r="L45" s="1" t="s">
        <v>30</v>
      </c>
      <c r="M45" s="1" t="s">
        <v>24</v>
      </c>
      <c r="N45">
        <v>0.05</v>
      </c>
      <c r="O45">
        <v>59573.8</v>
      </c>
    </row>
    <row r="46" spans="1:15" x14ac:dyDescent="0.3">
      <c r="A46" s="1" t="s">
        <v>84</v>
      </c>
      <c r="B46" s="1" t="s">
        <v>17</v>
      </c>
      <c r="C46" s="1" t="s">
        <v>23</v>
      </c>
      <c r="D46">
        <v>3</v>
      </c>
      <c r="E46">
        <v>3</v>
      </c>
      <c r="F46">
        <v>1289</v>
      </c>
      <c r="G46">
        <v>1014074</v>
      </c>
      <c r="H46">
        <v>964814</v>
      </c>
      <c r="I46" s="2">
        <v>45550</v>
      </c>
      <c r="J46" s="2">
        <v>45625</v>
      </c>
      <c r="K46">
        <v>75</v>
      </c>
      <c r="L46" s="1" t="s">
        <v>53</v>
      </c>
      <c r="M46" s="1" t="s">
        <v>28</v>
      </c>
      <c r="N46">
        <v>4.4999999999999998E-2</v>
      </c>
      <c r="O46">
        <v>43416.63</v>
      </c>
    </row>
    <row r="47" spans="1:15" x14ac:dyDescent="0.3">
      <c r="A47" s="1" t="s">
        <v>85</v>
      </c>
      <c r="B47" s="1" t="s">
        <v>32</v>
      </c>
      <c r="C47" s="1" t="s">
        <v>23</v>
      </c>
      <c r="D47">
        <v>2</v>
      </c>
      <c r="E47">
        <v>3</v>
      </c>
      <c r="F47">
        <v>2888</v>
      </c>
      <c r="G47">
        <v>1363630</v>
      </c>
      <c r="H47">
        <v>1358303</v>
      </c>
      <c r="I47" s="2">
        <v>44947</v>
      </c>
      <c r="J47" s="2">
        <v>45026</v>
      </c>
      <c r="K47">
        <v>79</v>
      </c>
      <c r="L47" s="1" t="s">
        <v>42</v>
      </c>
      <c r="M47" s="1" t="s">
        <v>24</v>
      </c>
      <c r="N47">
        <v>0.05</v>
      </c>
      <c r="O47">
        <v>67915.149999999994</v>
      </c>
    </row>
    <row r="48" spans="1:15" x14ac:dyDescent="0.3">
      <c r="A48" s="1" t="s">
        <v>86</v>
      </c>
      <c r="B48" s="1" t="s">
        <v>41</v>
      </c>
      <c r="C48" s="1" t="s">
        <v>38</v>
      </c>
      <c r="D48">
        <v>2</v>
      </c>
      <c r="E48">
        <v>4</v>
      </c>
      <c r="F48">
        <v>3495</v>
      </c>
      <c r="G48">
        <v>891984</v>
      </c>
      <c r="H48">
        <v>844102</v>
      </c>
      <c r="I48" s="2">
        <v>45440</v>
      </c>
      <c r="J48" s="2">
        <v>45455</v>
      </c>
      <c r="K48">
        <v>15</v>
      </c>
      <c r="L48" s="1" t="s">
        <v>44</v>
      </c>
      <c r="M48" s="1" t="s">
        <v>24</v>
      </c>
      <c r="N48">
        <v>4.4999999999999998E-2</v>
      </c>
      <c r="O48">
        <v>37984.589999999997</v>
      </c>
    </row>
    <row r="49" spans="1:15" x14ac:dyDescent="0.3">
      <c r="A49" s="1" t="s">
        <v>87</v>
      </c>
      <c r="B49" s="1" t="s">
        <v>41</v>
      </c>
      <c r="C49" s="1" t="s">
        <v>18</v>
      </c>
      <c r="D49">
        <v>4</v>
      </c>
      <c r="E49">
        <v>3</v>
      </c>
      <c r="F49">
        <v>1817</v>
      </c>
      <c r="G49">
        <v>461984</v>
      </c>
      <c r="H49">
        <v>384317</v>
      </c>
      <c r="I49" s="2">
        <v>45108</v>
      </c>
      <c r="J49" s="2">
        <v>45162</v>
      </c>
      <c r="K49">
        <v>54</v>
      </c>
      <c r="L49" s="1" t="s">
        <v>27</v>
      </c>
      <c r="M49" s="1" t="s">
        <v>28</v>
      </c>
      <c r="N49">
        <v>4.4999999999999998E-2</v>
      </c>
      <c r="O49">
        <v>17294.259999999998</v>
      </c>
    </row>
    <row r="50" spans="1:15" x14ac:dyDescent="0.3">
      <c r="A50" s="1" t="s">
        <v>88</v>
      </c>
      <c r="B50" s="1" t="s">
        <v>37</v>
      </c>
      <c r="C50" s="1" t="s">
        <v>23</v>
      </c>
      <c r="D50">
        <v>4</v>
      </c>
      <c r="E50">
        <v>3</v>
      </c>
      <c r="F50">
        <v>810</v>
      </c>
      <c r="G50">
        <v>1273914</v>
      </c>
      <c r="H50">
        <v>1201286</v>
      </c>
      <c r="I50" s="2">
        <v>45310</v>
      </c>
      <c r="J50" s="2">
        <v>45359</v>
      </c>
      <c r="K50">
        <v>49</v>
      </c>
      <c r="L50" s="1" t="s">
        <v>42</v>
      </c>
      <c r="M50" s="1" t="s">
        <v>20</v>
      </c>
      <c r="N50">
        <v>4.4999999999999998E-2</v>
      </c>
      <c r="O50">
        <v>54057.87</v>
      </c>
    </row>
    <row r="51" spans="1:15" x14ac:dyDescent="0.3">
      <c r="A51" s="1" t="s">
        <v>89</v>
      </c>
      <c r="B51" s="1" t="s">
        <v>32</v>
      </c>
      <c r="C51" s="1" t="s">
        <v>35</v>
      </c>
      <c r="D51">
        <v>5</v>
      </c>
      <c r="E51">
        <v>2</v>
      </c>
      <c r="F51">
        <v>1346</v>
      </c>
      <c r="G51">
        <v>1153357</v>
      </c>
      <c r="H51">
        <v>1083242</v>
      </c>
      <c r="I51" s="2">
        <v>45220</v>
      </c>
      <c r="J51" s="2">
        <v>45297</v>
      </c>
      <c r="K51">
        <v>77</v>
      </c>
      <c r="L51" s="1" t="s">
        <v>53</v>
      </c>
      <c r="M51" s="1" t="s">
        <v>28</v>
      </c>
      <c r="N51">
        <v>0.05</v>
      </c>
      <c r="O51">
        <v>54162.1</v>
      </c>
    </row>
    <row r="52" spans="1:15" x14ac:dyDescent="0.3">
      <c r="A52" s="1" t="s">
        <v>90</v>
      </c>
      <c r="B52" s="1" t="s">
        <v>37</v>
      </c>
      <c r="C52" s="1" t="s">
        <v>18</v>
      </c>
      <c r="D52">
        <v>1</v>
      </c>
      <c r="E52">
        <v>4</v>
      </c>
      <c r="F52">
        <v>1927</v>
      </c>
      <c r="G52">
        <v>629673</v>
      </c>
      <c r="H52">
        <v>564634</v>
      </c>
      <c r="I52" s="2">
        <v>45533</v>
      </c>
      <c r="J52" s="2">
        <v>45566</v>
      </c>
      <c r="K52">
        <v>33</v>
      </c>
      <c r="L52" s="1" t="s">
        <v>39</v>
      </c>
      <c r="M52" s="1" t="s">
        <v>24</v>
      </c>
      <c r="N52">
        <v>0.05</v>
      </c>
      <c r="O52">
        <v>28231.7</v>
      </c>
    </row>
    <row r="53" spans="1:15" x14ac:dyDescent="0.3">
      <c r="A53" s="1" t="s">
        <v>91</v>
      </c>
      <c r="B53" s="1" t="s">
        <v>37</v>
      </c>
      <c r="C53" s="1" t="s">
        <v>23</v>
      </c>
      <c r="D53">
        <v>1</v>
      </c>
      <c r="E53">
        <v>3</v>
      </c>
      <c r="F53">
        <v>1494</v>
      </c>
      <c r="G53">
        <v>726819</v>
      </c>
      <c r="H53">
        <v>720445</v>
      </c>
      <c r="I53" s="2">
        <v>45104</v>
      </c>
      <c r="J53" s="2">
        <v>45180</v>
      </c>
      <c r="K53">
        <v>76</v>
      </c>
      <c r="L53" s="1" t="s">
        <v>30</v>
      </c>
      <c r="M53" s="1" t="s">
        <v>24</v>
      </c>
      <c r="N53">
        <v>4.4999999999999998E-2</v>
      </c>
      <c r="O53">
        <v>32420.02</v>
      </c>
    </row>
    <row r="54" spans="1:15" x14ac:dyDescent="0.3">
      <c r="A54" s="1" t="s">
        <v>92</v>
      </c>
      <c r="B54" s="1" t="s">
        <v>59</v>
      </c>
      <c r="C54" s="1" t="s">
        <v>18</v>
      </c>
      <c r="D54">
        <v>3</v>
      </c>
      <c r="E54">
        <v>4</v>
      </c>
      <c r="F54">
        <v>2505</v>
      </c>
      <c r="G54">
        <v>1705371</v>
      </c>
      <c r="H54">
        <v>1646240</v>
      </c>
      <c r="I54" s="2">
        <v>45626</v>
      </c>
      <c r="J54" s="2">
        <v>45692</v>
      </c>
      <c r="K54">
        <v>66</v>
      </c>
      <c r="L54" s="1" t="s">
        <v>53</v>
      </c>
      <c r="M54" s="1" t="s">
        <v>24</v>
      </c>
      <c r="N54">
        <v>4.4999999999999998E-2</v>
      </c>
      <c r="O54">
        <v>74080.800000000003</v>
      </c>
    </row>
    <row r="55" spans="1:15" x14ac:dyDescent="0.3">
      <c r="A55" s="1" t="s">
        <v>93</v>
      </c>
      <c r="B55" s="1" t="s">
        <v>22</v>
      </c>
      <c r="C55" s="1" t="s">
        <v>35</v>
      </c>
      <c r="D55">
        <v>1</v>
      </c>
      <c r="E55">
        <v>3</v>
      </c>
      <c r="F55">
        <v>2108</v>
      </c>
      <c r="G55">
        <v>1758405</v>
      </c>
      <c r="H55">
        <v>1739654</v>
      </c>
      <c r="I55" s="2">
        <v>45122</v>
      </c>
      <c r="J55" s="2">
        <v>45184</v>
      </c>
      <c r="K55">
        <v>62</v>
      </c>
      <c r="L55" s="1" t="s">
        <v>19</v>
      </c>
      <c r="M55" s="1" t="s">
        <v>20</v>
      </c>
      <c r="N55">
        <v>0.04</v>
      </c>
      <c r="O55">
        <v>69586.16</v>
      </c>
    </row>
    <row r="56" spans="1:15" x14ac:dyDescent="0.3">
      <c r="A56" s="1" t="s">
        <v>94</v>
      </c>
      <c r="B56" s="1" t="s">
        <v>41</v>
      </c>
      <c r="C56" s="1" t="s">
        <v>35</v>
      </c>
      <c r="D56">
        <v>1</v>
      </c>
      <c r="E56">
        <v>3</v>
      </c>
      <c r="F56">
        <v>3287</v>
      </c>
      <c r="G56">
        <v>1697916</v>
      </c>
      <c r="H56">
        <v>1629407</v>
      </c>
      <c r="I56" s="2">
        <v>45157</v>
      </c>
      <c r="J56" s="2">
        <v>45235</v>
      </c>
      <c r="K56">
        <v>78</v>
      </c>
      <c r="L56" s="1" t="s">
        <v>51</v>
      </c>
      <c r="M56" s="1" t="s">
        <v>20</v>
      </c>
      <c r="N56">
        <v>4.4999999999999998E-2</v>
      </c>
      <c r="O56">
        <v>73323.320000000007</v>
      </c>
    </row>
    <row r="57" spans="1:15" x14ac:dyDescent="0.3">
      <c r="A57" s="1" t="s">
        <v>95</v>
      </c>
      <c r="B57" s="1" t="s">
        <v>32</v>
      </c>
      <c r="C57" s="1" t="s">
        <v>18</v>
      </c>
      <c r="D57">
        <v>2</v>
      </c>
      <c r="E57">
        <v>1</v>
      </c>
      <c r="F57">
        <v>1270</v>
      </c>
      <c r="G57">
        <v>1098840</v>
      </c>
      <c r="H57">
        <v>1048366</v>
      </c>
      <c r="I57" s="2">
        <v>45589</v>
      </c>
      <c r="J57" s="2">
        <v>45668</v>
      </c>
      <c r="K57">
        <v>79</v>
      </c>
      <c r="L57" s="1" t="s">
        <v>27</v>
      </c>
      <c r="M57" s="1" t="s">
        <v>28</v>
      </c>
      <c r="N57">
        <v>0.05</v>
      </c>
      <c r="O57">
        <v>52418.3</v>
      </c>
    </row>
    <row r="58" spans="1:15" x14ac:dyDescent="0.3">
      <c r="A58" s="1" t="s">
        <v>96</v>
      </c>
      <c r="B58" s="1" t="s">
        <v>32</v>
      </c>
      <c r="C58" s="1" t="s">
        <v>23</v>
      </c>
      <c r="D58">
        <v>3</v>
      </c>
      <c r="E58">
        <v>2</v>
      </c>
      <c r="F58">
        <v>1285</v>
      </c>
      <c r="G58">
        <v>1408084</v>
      </c>
      <c r="H58">
        <v>1380992</v>
      </c>
      <c r="I58" s="2">
        <v>45506</v>
      </c>
      <c r="J58" s="2">
        <v>45574</v>
      </c>
      <c r="K58">
        <v>68</v>
      </c>
      <c r="L58" s="1" t="s">
        <v>42</v>
      </c>
      <c r="M58" s="1" t="s">
        <v>20</v>
      </c>
      <c r="N58">
        <v>4.4999999999999998E-2</v>
      </c>
      <c r="O58">
        <v>62144.639999999999</v>
      </c>
    </row>
    <row r="59" spans="1:15" x14ac:dyDescent="0.3">
      <c r="A59" s="1" t="s">
        <v>97</v>
      </c>
      <c r="B59" s="1" t="s">
        <v>26</v>
      </c>
      <c r="C59" s="1" t="s">
        <v>38</v>
      </c>
      <c r="D59">
        <v>4</v>
      </c>
      <c r="E59">
        <v>1</v>
      </c>
      <c r="F59">
        <v>881</v>
      </c>
      <c r="G59">
        <v>1702421</v>
      </c>
      <c r="H59">
        <v>1680056</v>
      </c>
      <c r="I59" s="2">
        <v>45397</v>
      </c>
      <c r="J59" s="2">
        <v>45426</v>
      </c>
      <c r="K59">
        <v>29</v>
      </c>
      <c r="L59" s="1" t="s">
        <v>39</v>
      </c>
      <c r="M59" s="1" t="s">
        <v>24</v>
      </c>
      <c r="N59">
        <v>0.04</v>
      </c>
      <c r="O59">
        <v>67202.240000000005</v>
      </c>
    </row>
    <row r="60" spans="1:15" x14ac:dyDescent="0.3">
      <c r="A60" s="1" t="s">
        <v>98</v>
      </c>
      <c r="B60" s="1" t="s">
        <v>26</v>
      </c>
      <c r="C60" s="1" t="s">
        <v>18</v>
      </c>
      <c r="D60">
        <v>5</v>
      </c>
      <c r="E60">
        <v>1</v>
      </c>
      <c r="F60">
        <v>2766</v>
      </c>
      <c r="G60">
        <v>1030662</v>
      </c>
      <c r="H60">
        <v>957655</v>
      </c>
      <c r="I60" s="2">
        <v>45101</v>
      </c>
      <c r="J60" s="2">
        <v>45124</v>
      </c>
      <c r="K60">
        <v>23</v>
      </c>
      <c r="L60" s="1" t="s">
        <v>19</v>
      </c>
      <c r="M60" s="1" t="s">
        <v>28</v>
      </c>
      <c r="N60">
        <v>0.04</v>
      </c>
      <c r="O60">
        <v>38306.199999999997</v>
      </c>
    </row>
    <row r="61" spans="1:15" x14ac:dyDescent="0.3">
      <c r="A61" s="1" t="s">
        <v>99</v>
      </c>
      <c r="B61" s="1" t="s">
        <v>41</v>
      </c>
      <c r="C61" s="1" t="s">
        <v>23</v>
      </c>
      <c r="D61">
        <v>4</v>
      </c>
      <c r="E61">
        <v>2</v>
      </c>
      <c r="F61">
        <v>3351</v>
      </c>
      <c r="G61">
        <v>654540</v>
      </c>
      <c r="H61">
        <v>636792</v>
      </c>
      <c r="I61" s="2">
        <v>45401</v>
      </c>
      <c r="J61" s="2">
        <v>45428</v>
      </c>
      <c r="K61">
        <v>27</v>
      </c>
      <c r="L61" s="1" t="s">
        <v>19</v>
      </c>
      <c r="M61" s="1" t="s">
        <v>28</v>
      </c>
      <c r="N61">
        <v>0.04</v>
      </c>
      <c r="O61">
        <v>25471.68</v>
      </c>
    </row>
    <row r="62" spans="1:15" x14ac:dyDescent="0.3">
      <c r="A62" s="1" t="s">
        <v>100</v>
      </c>
      <c r="B62" s="1" t="s">
        <v>32</v>
      </c>
      <c r="C62" s="1" t="s">
        <v>38</v>
      </c>
      <c r="D62">
        <v>5</v>
      </c>
      <c r="E62">
        <v>3</v>
      </c>
      <c r="F62">
        <v>3442</v>
      </c>
      <c r="G62">
        <v>1338377</v>
      </c>
      <c r="H62">
        <v>1278220</v>
      </c>
      <c r="I62" s="2">
        <v>45227</v>
      </c>
      <c r="J62" s="2">
        <v>45293</v>
      </c>
      <c r="K62">
        <v>66</v>
      </c>
      <c r="L62" s="1" t="s">
        <v>39</v>
      </c>
      <c r="M62" s="1" t="s">
        <v>24</v>
      </c>
      <c r="N62">
        <v>4.4999999999999998E-2</v>
      </c>
      <c r="O62">
        <v>57519.9</v>
      </c>
    </row>
    <row r="63" spans="1:15" x14ac:dyDescent="0.3">
      <c r="A63" s="1" t="s">
        <v>101</v>
      </c>
      <c r="B63" s="1" t="s">
        <v>32</v>
      </c>
      <c r="C63" s="1" t="s">
        <v>38</v>
      </c>
      <c r="D63">
        <v>1</v>
      </c>
      <c r="E63">
        <v>4</v>
      </c>
      <c r="F63">
        <v>1869</v>
      </c>
      <c r="G63">
        <v>1054284</v>
      </c>
      <c r="H63">
        <v>1023631</v>
      </c>
      <c r="I63" s="2">
        <v>45091</v>
      </c>
      <c r="J63" s="2">
        <v>45165</v>
      </c>
      <c r="K63">
        <v>74</v>
      </c>
      <c r="L63" s="1" t="s">
        <v>44</v>
      </c>
      <c r="M63" s="1" t="s">
        <v>20</v>
      </c>
      <c r="N63">
        <v>4.4999999999999998E-2</v>
      </c>
      <c r="O63">
        <v>46063.39</v>
      </c>
    </row>
    <row r="64" spans="1:15" x14ac:dyDescent="0.3">
      <c r="A64" s="1" t="s">
        <v>102</v>
      </c>
      <c r="B64" s="1" t="s">
        <v>32</v>
      </c>
      <c r="C64" s="1" t="s">
        <v>35</v>
      </c>
      <c r="D64">
        <v>1</v>
      </c>
      <c r="E64">
        <v>3</v>
      </c>
      <c r="F64">
        <v>2134</v>
      </c>
      <c r="G64">
        <v>1245749</v>
      </c>
      <c r="H64">
        <v>1221376</v>
      </c>
      <c r="I64" s="2">
        <v>45217</v>
      </c>
      <c r="J64" s="2">
        <v>45293</v>
      </c>
      <c r="K64">
        <v>76</v>
      </c>
      <c r="L64" s="1" t="s">
        <v>30</v>
      </c>
      <c r="M64" s="1" t="s">
        <v>20</v>
      </c>
      <c r="N64">
        <v>4.4999999999999998E-2</v>
      </c>
      <c r="O64">
        <v>54961.919999999998</v>
      </c>
    </row>
    <row r="65" spans="1:15" x14ac:dyDescent="0.3">
      <c r="A65" s="1" t="s">
        <v>103</v>
      </c>
      <c r="B65" s="1" t="s">
        <v>26</v>
      </c>
      <c r="C65" s="1" t="s">
        <v>38</v>
      </c>
      <c r="D65">
        <v>3</v>
      </c>
      <c r="E65">
        <v>3</v>
      </c>
      <c r="F65">
        <v>1404</v>
      </c>
      <c r="G65">
        <v>476610</v>
      </c>
      <c r="H65">
        <v>476488</v>
      </c>
      <c r="I65" s="2">
        <v>45181</v>
      </c>
      <c r="J65" s="2">
        <v>45214</v>
      </c>
      <c r="K65">
        <v>33</v>
      </c>
      <c r="L65" s="1" t="s">
        <v>53</v>
      </c>
      <c r="M65" s="1" t="s">
        <v>28</v>
      </c>
      <c r="N65">
        <v>0.04</v>
      </c>
      <c r="O65">
        <v>19059.52</v>
      </c>
    </row>
    <row r="66" spans="1:15" x14ac:dyDescent="0.3">
      <c r="A66" s="1" t="s">
        <v>104</v>
      </c>
      <c r="B66" s="1" t="s">
        <v>37</v>
      </c>
      <c r="C66" s="1" t="s">
        <v>35</v>
      </c>
      <c r="D66">
        <v>1</v>
      </c>
      <c r="E66">
        <v>2</v>
      </c>
      <c r="F66">
        <v>707</v>
      </c>
      <c r="G66">
        <v>700258</v>
      </c>
      <c r="H66">
        <v>684234</v>
      </c>
      <c r="I66" s="2">
        <v>45197</v>
      </c>
      <c r="J66" s="2">
        <v>45213</v>
      </c>
      <c r="K66">
        <v>16</v>
      </c>
      <c r="L66" s="1" t="s">
        <v>51</v>
      </c>
      <c r="M66" s="1" t="s">
        <v>28</v>
      </c>
      <c r="N66">
        <v>0.04</v>
      </c>
      <c r="O66">
        <v>27369.360000000001</v>
      </c>
    </row>
    <row r="67" spans="1:15" x14ac:dyDescent="0.3">
      <c r="A67" s="1" t="s">
        <v>105</v>
      </c>
      <c r="B67" s="1" t="s">
        <v>26</v>
      </c>
      <c r="C67" s="1" t="s">
        <v>33</v>
      </c>
      <c r="D67">
        <v>3</v>
      </c>
      <c r="E67">
        <v>4</v>
      </c>
      <c r="F67">
        <v>3446</v>
      </c>
      <c r="G67">
        <v>1411326</v>
      </c>
      <c r="H67">
        <v>1359126</v>
      </c>
      <c r="I67" s="2">
        <v>45557</v>
      </c>
      <c r="J67" s="2">
        <v>45615</v>
      </c>
      <c r="K67">
        <v>58</v>
      </c>
      <c r="L67" s="1" t="s">
        <v>53</v>
      </c>
      <c r="M67" s="1" t="s">
        <v>20</v>
      </c>
      <c r="N67">
        <v>0.04</v>
      </c>
      <c r="O67">
        <v>54365.04</v>
      </c>
    </row>
    <row r="68" spans="1:15" x14ac:dyDescent="0.3">
      <c r="A68" s="1" t="s">
        <v>106</v>
      </c>
      <c r="B68" s="1" t="s">
        <v>17</v>
      </c>
      <c r="C68" s="1" t="s">
        <v>33</v>
      </c>
      <c r="D68">
        <v>5</v>
      </c>
      <c r="E68">
        <v>2</v>
      </c>
      <c r="F68">
        <v>3498</v>
      </c>
      <c r="G68">
        <v>1106507</v>
      </c>
      <c r="H68">
        <v>1042859</v>
      </c>
      <c r="I68" s="2">
        <v>45266</v>
      </c>
      <c r="J68" s="2">
        <v>45313</v>
      </c>
      <c r="K68">
        <v>47</v>
      </c>
      <c r="L68" s="1" t="s">
        <v>44</v>
      </c>
      <c r="M68" s="1" t="s">
        <v>28</v>
      </c>
      <c r="N68">
        <v>0.04</v>
      </c>
      <c r="O68">
        <v>41714.36</v>
      </c>
    </row>
    <row r="69" spans="1:15" x14ac:dyDescent="0.3">
      <c r="A69" s="1" t="s">
        <v>107</v>
      </c>
      <c r="B69" s="1" t="s">
        <v>59</v>
      </c>
      <c r="C69" s="1" t="s">
        <v>33</v>
      </c>
      <c r="D69">
        <v>2</v>
      </c>
      <c r="E69">
        <v>4</v>
      </c>
      <c r="F69">
        <v>3443</v>
      </c>
      <c r="G69">
        <v>918845</v>
      </c>
      <c r="H69">
        <v>850035</v>
      </c>
      <c r="I69" s="2">
        <v>45489</v>
      </c>
      <c r="J69" s="2">
        <v>45520</v>
      </c>
      <c r="K69">
        <v>31</v>
      </c>
      <c r="L69" s="1" t="s">
        <v>30</v>
      </c>
      <c r="M69" s="1" t="s">
        <v>24</v>
      </c>
      <c r="N69">
        <v>4.4999999999999998E-2</v>
      </c>
      <c r="O69">
        <v>38251.57</v>
      </c>
    </row>
    <row r="70" spans="1:15" x14ac:dyDescent="0.3">
      <c r="A70" s="1" t="s">
        <v>108</v>
      </c>
      <c r="B70" s="1" t="s">
        <v>32</v>
      </c>
      <c r="C70" s="1" t="s">
        <v>18</v>
      </c>
      <c r="D70">
        <v>5</v>
      </c>
      <c r="E70">
        <v>2</v>
      </c>
      <c r="F70">
        <v>742</v>
      </c>
      <c r="G70">
        <v>1555630</v>
      </c>
      <c r="H70">
        <v>1547429</v>
      </c>
      <c r="I70" s="2">
        <v>45133</v>
      </c>
      <c r="J70" s="2">
        <v>45182</v>
      </c>
      <c r="K70">
        <v>49</v>
      </c>
      <c r="L70" s="1" t="s">
        <v>53</v>
      </c>
      <c r="M70" s="1" t="s">
        <v>20</v>
      </c>
      <c r="N70">
        <v>0.04</v>
      </c>
      <c r="O70">
        <v>61897.16</v>
      </c>
    </row>
    <row r="71" spans="1:15" x14ac:dyDescent="0.3">
      <c r="A71" s="1" t="s">
        <v>109</v>
      </c>
      <c r="B71" s="1" t="s">
        <v>22</v>
      </c>
      <c r="C71" s="1" t="s">
        <v>23</v>
      </c>
      <c r="D71">
        <v>5</v>
      </c>
      <c r="E71">
        <v>3</v>
      </c>
      <c r="F71">
        <v>681</v>
      </c>
      <c r="G71">
        <v>1120670</v>
      </c>
      <c r="H71">
        <v>1093904</v>
      </c>
      <c r="I71" s="2">
        <v>45032</v>
      </c>
      <c r="J71" s="2">
        <v>45111</v>
      </c>
      <c r="K71">
        <v>79</v>
      </c>
      <c r="L71" s="1" t="s">
        <v>42</v>
      </c>
      <c r="M71" s="1" t="s">
        <v>24</v>
      </c>
      <c r="N71">
        <v>0.05</v>
      </c>
      <c r="O71">
        <v>54695.199999999997</v>
      </c>
    </row>
    <row r="72" spans="1:15" x14ac:dyDescent="0.3">
      <c r="A72" s="1" t="s">
        <v>110</v>
      </c>
      <c r="B72" s="1" t="s">
        <v>17</v>
      </c>
      <c r="C72" s="1" t="s">
        <v>23</v>
      </c>
      <c r="D72">
        <v>1</v>
      </c>
      <c r="E72">
        <v>1</v>
      </c>
      <c r="F72">
        <v>2275</v>
      </c>
      <c r="G72">
        <v>600781</v>
      </c>
      <c r="H72">
        <v>572170</v>
      </c>
      <c r="I72" s="2">
        <v>45236</v>
      </c>
      <c r="J72" s="2">
        <v>45296</v>
      </c>
      <c r="K72">
        <v>60</v>
      </c>
      <c r="L72" s="1" t="s">
        <v>39</v>
      </c>
      <c r="M72" s="1" t="s">
        <v>24</v>
      </c>
      <c r="N72">
        <v>0.05</v>
      </c>
      <c r="O72">
        <v>28608.5</v>
      </c>
    </row>
    <row r="73" spans="1:15" x14ac:dyDescent="0.3">
      <c r="A73" s="1" t="s">
        <v>111</v>
      </c>
      <c r="B73" s="1" t="s">
        <v>59</v>
      </c>
      <c r="C73" s="1" t="s">
        <v>38</v>
      </c>
      <c r="D73">
        <v>2</v>
      </c>
      <c r="E73">
        <v>4</v>
      </c>
      <c r="F73">
        <v>603</v>
      </c>
      <c r="G73">
        <v>1334577</v>
      </c>
      <c r="H73">
        <v>1306315</v>
      </c>
      <c r="I73" s="2">
        <v>45598</v>
      </c>
      <c r="J73" s="2">
        <v>45643</v>
      </c>
      <c r="K73">
        <v>45</v>
      </c>
      <c r="L73" s="1" t="s">
        <v>19</v>
      </c>
      <c r="M73" s="1" t="s">
        <v>20</v>
      </c>
      <c r="N73">
        <v>0.05</v>
      </c>
      <c r="O73">
        <v>65315.75</v>
      </c>
    </row>
    <row r="74" spans="1:15" x14ac:dyDescent="0.3">
      <c r="A74" s="1" t="s">
        <v>112</v>
      </c>
      <c r="B74" s="1" t="s">
        <v>17</v>
      </c>
      <c r="C74" s="1" t="s">
        <v>23</v>
      </c>
      <c r="D74">
        <v>5</v>
      </c>
      <c r="E74">
        <v>4</v>
      </c>
      <c r="F74">
        <v>804</v>
      </c>
      <c r="G74">
        <v>1744750</v>
      </c>
      <c r="H74">
        <v>1734659</v>
      </c>
      <c r="I74" s="2">
        <v>45310</v>
      </c>
      <c r="J74" s="2">
        <v>45369</v>
      </c>
      <c r="K74">
        <v>59</v>
      </c>
      <c r="L74" s="1" t="s">
        <v>30</v>
      </c>
      <c r="M74" s="1" t="s">
        <v>24</v>
      </c>
      <c r="N74">
        <v>0.04</v>
      </c>
      <c r="O74">
        <v>69386.36</v>
      </c>
    </row>
    <row r="75" spans="1:15" x14ac:dyDescent="0.3">
      <c r="A75" s="1" t="s">
        <v>113</v>
      </c>
      <c r="B75" s="1" t="s">
        <v>41</v>
      </c>
      <c r="C75" s="1" t="s">
        <v>38</v>
      </c>
      <c r="D75">
        <v>2</v>
      </c>
      <c r="E75">
        <v>4</v>
      </c>
      <c r="F75">
        <v>1282</v>
      </c>
      <c r="G75">
        <v>675423</v>
      </c>
      <c r="H75">
        <v>653450</v>
      </c>
      <c r="I75" s="2">
        <v>45072</v>
      </c>
      <c r="J75" s="2">
        <v>45077</v>
      </c>
      <c r="K75">
        <v>5</v>
      </c>
      <c r="L75" s="1" t="s">
        <v>27</v>
      </c>
      <c r="M75" s="1" t="s">
        <v>20</v>
      </c>
      <c r="N75">
        <v>0.05</v>
      </c>
      <c r="O75">
        <v>32672.5</v>
      </c>
    </row>
    <row r="76" spans="1:15" x14ac:dyDescent="0.3">
      <c r="A76" s="1" t="s">
        <v>114</v>
      </c>
      <c r="B76" s="1" t="s">
        <v>41</v>
      </c>
      <c r="C76" s="1" t="s">
        <v>23</v>
      </c>
      <c r="D76">
        <v>1</v>
      </c>
      <c r="E76">
        <v>3</v>
      </c>
      <c r="F76">
        <v>1878</v>
      </c>
      <c r="G76">
        <v>1012813</v>
      </c>
      <c r="H76">
        <v>974014</v>
      </c>
      <c r="I76" s="2">
        <v>45044</v>
      </c>
      <c r="J76" s="2">
        <v>45085</v>
      </c>
      <c r="K76">
        <v>41</v>
      </c>
      <c r="L76" s="1" t="s">
        <v>53</v>
      </c>
      <c r="M76" s="1" t="s">
        <v>20</v>
      </c>
      <c r="N76">
        <v>0.05</v>
      </c>
      <c r="O76">
        <v>48700.7</v>
      </c>
    </row>
    <row r="77" spans="1:15" x14ac:dyDescent="0.3">
      <c r="A77" s="1" t="s">
        <v>115</v>
      </c>
      <c r="B77" s="1" t="s">
        <v>22</v>
      </c>
      <c r="C77" s="1" t="s">
        <v>23</v>
      </c>
      <c r="D77">
        <v>4</v>
      </c>
      <c r="E77">
        <v>2</v>
      </c>
      <c r="F77">
        <v>3264</v>
      </c>
      <c r="G77">
        <v>1548653</v>
      </c>
      <c r="H77">
        <v>1491677</v>
      </c>
      <c r="I77" s="2">
        <v>45250</v>
      </c>
      <c r="J77" s="2">
        <v>45274</v>
      </c>
      <c r="K77">
        <v>24</v>
      </c>
      <c r="L77" s="1" t="s">
        <v>19</v>
      </c>
      <c r="M77" s="1" t="s">
        <v>24</v>
      </c>
      <c r="N77">
        <v>0.05</v>
      </c>
      <c r="O77">
        <v>74583.850000000006</v>
      </c>
    </row>
    <row r="78" spans="1:15" x14ac:dyDescent="0.3">
      <c r="A78" s="1" t="s">
        <v>116</v>
      </c>
      <c r="B78" s="1" t="s">
        <v>41</v>
      </c>
      <c r="C78" s="1" t="s">
        <v>38</v>
      </c>
      <c r="D78">
        <v>3</v>
      </c>
      <c r="E78">
        <v>1</v>
      </c>
      <c r="F78">
        <v>2300</v>
      </c>
      <c r="G78">
        <v>919715</v>
      </c>
      <c r="H78">
        <v>862897</v>
      </c>
      <c r="I78" s="2">
        <v>45117</v>
      </c>
      <c r="J78" s="2">
        <v>45181</v>
      </c>
      <c r="K78">
        <v>64</v>
      </c>
      <c r="L78" s="1" t="s">
        <v>19</v>
      </c>
      <c r="M78" s="1" t="s">
        <v>28</v>
      </c>
      <c r="N78">
        <v>0.05</v>
      </c>
      <c r="O78">
        <v>43144.85</v>
      </c>
    </row>
    <row r="79" spans="1:15" x14ac:dyDescent="0.3">
      <c r="A79" s="1" t="s">
        <v>117</v>
      </c>
      <c r="B79" s="1" t="s">
        <v>59</v>
      </c>
      <c r="C79" s="1" t="s">
        <v>33</v>
      </c>
      <c r="D79">
        <v>4</v>
      </c>
      <c r="E79">
        <v>2</v>
      </c>
      <c r="F79">
        <v>1539</v>
      </c>
      <c r="G79">
        <v>833353</v>
      </c>
      <c r="H79">
        <v>773332</v>
      </c>
      <c r="I79" s="2">
        <v>45584</v>
      </c>
      <c r="J79" s="2">
        <v>45643</v>
      </c>
      <c r="K79">
        <v>59</v>
      </c>
      <c r="L79" s="1" t="s">
        <v>53</v>
      </c>
      <c r="M79" s="1" t="s">
        <v>28</v>
      </c>
      <c r="N79">
        <v>0.05</v>
      </c>
      <c r="O79">
        <v>38666.6</v>
      </c>
    </row>
    <row r="80" spans="1:15" x14ac:dyDescent="0.3">
      <c r="A80" s="1" t="s">
        <v>118</v>
      </c>
      <c r="B80" s="1" t="s">
        <v>17</v>
      </c>
      <c r="C80" s="1" t="s">
        <v>18</v>
      </c>
      <c r="D80">
        <v>1</v>
      </c>
      <c r="E80">
        <v>1</v>
      </c>
      <c r="F80">
        <v>2278</v>
      </c>
      <c r="G80">
        <v>828348</v>
      </c>
      <c r="H80">
        <v>808745</v>
      </c>
      <c r="I80" s="2">
        <v>45456</v>
      </c>
      <c r="J80" s="2">
        <v>45501</v>
      </c>
      <c r="K80">
        <v>45</v>
      </c>
      <c r="L80" s="1" t="s">
        <v>51</v>
      </c>
      <c r="M80" s="1" t="s">
        <v>24</v>
      </c>
      <c r="N80">
        <v>0.04</v>
      </c>
      <c r="O80">
        <v>32349.8</v>
      </c>
    </row>
    <row r="81" spans="1:15" x14ac:dyDescent="0.3">
      <c r="A81" s="1" t="s">
        <v>119</v>
      </c>
      <c r="B81" s="1" t="s">
        <v>32</v>
      </c>
      <c r="C81" s="1" t="s">
        <v>33</v>
      </c>
      <c r="D81">
        <v>3</v>
      </c>
      <c r="E81">
        <v>3</v>
      </c>
      <c r="F81">
        <v>739</v>
      </c>
      <c r="G81">
        <v>1571740</v>
      </c>
      <c r="H81">
        <v>1544949</v>
      </c>
      <c r="I81" s="2">
        <v>45350</v>
      </c>
      <c r="J81" s="2">
        <v>45379</v>
      </c>
      <c r="K81">
        <v>29</v>
      </c>
      <c r="L81" s="1" t="s">
        <v>53</v>
      </c>
      <c r="M81" s="1" t="s">
        <v>24</v>
      </c>
      <c r="N81">
        <v>4.4999999999999998E-2</v>
      </c>
      <c r="O81">
        <v>69522.710000000006</v>
      </c>
    </row>
    <row r="82" spans="1:15" x14ac:dyDescent="0.3">
      <c r="A82" s="1" t="s">
        <v>120</v>
      </c>
      <c r="B82" s="1" t="s">
        <v>48</v>
      </c>
      <c r="C82" s="1" t="s">
        <v>18</v>
      </c>
      <c r="D82">
        <v>3</v>
      </c>
      <c r="E82">
        <v>1</v>
      </c>
      <c r="F82">
        <v>832</v>
      </c>
      <c r="G82">
        <v>1226974</v>
      </c>
      <c r="H82">
        <v>1200654</v>
      </c>
      <c r="I82" s="2">
        <v>45538</v>
      </c>
      <c r="J82" s="2">
        <v>45546</v>
      </c>
      <c r="K82">
        <v>8</v>
      </c>
      <c r="L82" s="1" t="s">
        <v>30</v>
      </c>
      <c r="M82" s="1" t="s">
        <v>28</v>
      </c>
      <c r="N82">
        <v>4.4999999999999998E-2</v>
      </c>
      <c r="O82">
        <v>54029.43</v>
      </c>
    </row>
    <row r="83" spans="1:15" x14ac:dyDescent="0.3">
      <c r="A83" s="1" t="s">
        <v>121</v>
      </c>
      <c r="B83" s="1" t="s">
        <v>32</v>
      </c>
      <c r="C83" s="1" t="s">
        <v>33</v>
      </c>
      <c r="D83">
        <v>3</v>
      </c>
      <c r="E83">
        <v>4</v>
      </c>
      <c r="F83">
        <v>1738</v>
      </c>
      <c r="G83">
        <v>1776462</v>
      </c>
      <c r="H83">
        <v>1750686</v>
      </c>
      <c r="I83" s="2">
        <v>45254</v>
      </c>
      <c r="J83" s="2">
        <v>45303</v>
      </c>
      <c r="K83">
        <v>49</v>
      </c>
      <c r="L83" s="1" t="s">
        <v>39</v>
      </c>
      <c r="M83" s="1" t="s">
        <v>28</v>
      </c>
      <c r="N83">
        <v>4.4999999999999998E-2</v>
      </c>
      <c r="O83">
        <v>78780.87</v>
      </c>
    </row>
    <row r="84" spans="1:15" x14ac:dyDescent="0.3">
      <c r="A84" s="1" t="s">
        <v>122</v>
      </c>
      <c r="B84" s="1" t="s">
        <v>22</v>
      </c>
      <c r="C84" s="1" t="s">
        <v>38</v>
      </c>
      <c r="D84">
        <v>5</v>
      </c>
      <c r="E84">
        <v>2</v>
      </c>
      <c r="F84">
        <v>998</v>
      </c>
      <c r="G84">
        <v>949118</v>
      </c>
      <c r="H84">
        <v>928562</v>
      </c>
      <c r="I84" s="2">
        <v>45052</v>
      </c>
      <c r="J84" s="2">
        <v>45113</v>
      </c>
      <c r="K84">
        <v>61</v>
      </c>
      <c r="L84" s="1" t="s">
        <v>27</v>
      </c>
      <c r="M84" s="1" t="s">
        <v>20</v>
      </c>
      <c r="N84">
        <v>4.4999999999999998E-2</v>
      </c>
      <c r="O84">
        <v>41785.29</v>
      </c>
    </row>
    <row r="85" spans="1:15" x14ac:dyDescent="0.3">
      <c r="A85" s="1" t="s">
        <v>123</v>
      </c>
      <c r="B85" s="1" t="s">
        <v>17</v>
      </c>
      <c r="C85" s="1" t="s">
        <v>18</v>
      </c>
      <c r="D85">
        <v>4</v>
      </c>
      <c r="E85">
        <v>1</v>
      </c>
      <c r="F85">
        <v>3263</v>
      </c>
      <c r="G85">
        <v>1164997</v>
      </c>
      <c r="H85">
        <v>1119340</v>
      </c>
      <c r="I85" s="2">
        <v>45609</v>
      </c>
      <c r="J85" s="2">
        <v>45654</v>
      </c>
      <c r="K85">
        <v>45</v>
      </c>
      <c r="L85" s="1" t="s">
        <v>39</v>
      </c>
      <c r="M85" s="1" t="s">
        <v>24</v>
      </c>
      <c r="N85">
        <v>0.05</v>
      </c>
      <c r="O85">
        <v>55967</v>
      </c>
    </row>
    <row r="86" spans="1:15" x14ac:dyDescent="0.3">
      <c r="A86" s="1" t="s">
        <v>124</v>
      </c>
      <c r="B86" s="1" t="s">
        <v>59</v>
      </c>
      <c r="C86" s="1" t="s">
        <v>33</v>
      </c>
      <c r="D86">
        <v>1</v>
      </c>
      <c r="E86">
        <v>3</v>
      </c>
      <c r="F86">
        <v>758</v>
      </c>
      <c r="G86">
        <v>412344</v>
      </c>
      <c r="H86">
        <v>335351</v>
      </c>
      <c r="I86" s="2">
        <v>45133</v>
      </c>
      <c r="J86" s="2">
        <v>45178</v>
      </c>
      <c r="K86">
        <v>45</v>
      </c>
      <c r="L86" s="1" t="s">
        <v>30</v>
      </c>
      <c r="M86" s="1" t="s">
        <v>28</v>
      </c>
      <c r="N86">
        <v>4.4999999999999998E-2</v>
      </c>
      <c r="O86">
        <v>15090.8</v>
      </c>
    </row>
    <row r="87" spans="1:15" x14ac:dyDescent="0.3">
      <c r="A87" s="1" t="s">
        <v>125</v>
      </c>
      <c r="B87" s="1" t="s">
        <v>22</v>
      </c>
      <c r="C87" s="1" t="s">
        <v>18</v>
      </c>
      <c r="D87">
        <v>2</v>
      </c>
      <c r="E87">
        <v>3</v>
      </c>
      <c r="F87">
        <v>1552</v>
      </c>
      <c r="G87">
        <v>1176801</v>
      </c>
      <c r="H87">
        <v>1118056</v>
      </c>
      <c r="I87" s="2">
        <v>44987</v>
      </c>
      <c r="J87" s="2">
        <v>44999</v>
      </c>
      <c r="K87">
        <v>12</v>
      </c>
      <c r="L87" s="1" t="s">
        <v>27</v>
      </c>
      <c r="M87" s="1" t="s">
        <v>28</v>
      </c>
      <c r="N87">
        <v>0.05</v>
      </c>
      <c r="O87">
        <v>55902.8</v>
      </c>
    </row>
    <row r="88" spans="1:15" x14ac:dyDescent="0.3">
      <c r="A88" s="1" t="s">
        <v>126</v>
      </c>
      <c r="B88" s="1" t="s">
        <v>26</v>
      </c>
      <c r="C88" s="1" t="s">
        <v>35</v>
      </c>
      <c r="D88">
        <v>3</v>
      </c>
      <c r="E88">
        <v>4</v>
      </c>
      <c r="F88">
        <v>1159</v>
      </c>
      <c r="G88">
        <v>1049884</v>
      </c>
      <c r="H88">
        <v>1024074</v>
      </c>
      <c r="I88" s="2">
        <v>44935</v>
      </c>
      <c r="J88" s="2">
        <v>45001</v>
      </c>
      <c r="K88">
        <v>66</v>
      </c>
      <c r="L88" s="1" t="s">
        <v>39</v>
      </c>
      <c r="M88" s="1" t="s">
        <v>28</v>
      </c>
      <c r="N88">
        <v>0.05</v>
      </c>
      <c r="O88">
        <v>51203.7</v>
      </c>
    </row>
    <row r="89" spans="1:15" x14ac:dyDescent="0.3">
      <c r="A89" s="1" t="s">
        <v>127</v>
      </c>
      <c r="B89" s="1" t="s">
        <v>59</v>
      </c>
      <c r="C89" s="1" t="s">
        <v>35</v>
      </c>
      <c r="D89">
        <v>4</v>
      </c>
      <c r="E89">
        <v>3</v>
      </c>
      <c r="F89">
        <v>1472</v>
      </c>
      <c r="G89">
        <v>1290284</v>
      </c>
      <c r="H89">
        <v>1223395</v>
      </c>
      <c r="I89" s="2">
        <v>45213</v>
      </c>
      <c r="J89" s="2">
        <v>45295</v>
      </c>
      <c r="K89">
        <v>82</v>
      </c>
      <c r="L89" s="1" t="s">
        <v>19</v>
      </c>
      <c r="M89" s="1" t="s">
        <v>28</v>
      </c>
      <c r="N89">
        <v>4.4999999999999998E-2</v>
      </c>
      <c r="O89">
        <v>55052.78</v>
      </c>
    </row>
    <row r="90" spans="1:15" x14ac:dyDescent="0.3">
      <c r="A90" s="1" t="s">
        <v>128</v>
      </c>
      <c r="B90" s="1" t="s">
        <v>41</v>
      </c>
      <c r="C90" s="1" t="s">
        <v>35</v>
      </c>
      <c r="D90">
        <v>4</v>
      </c>
      <c r="E90">
        <v>3</v>
      </c>
      <c r="F90">
        <v>3067</v>
      </c>
      <c r="G90">
        <v>624183</v>
      </c>
      <c r="H90">
        <v>607004</v>
      </c>
      <c r="I90" s="2">
        <v>45061</v>
      </c>
      <c r="J90" s="2">
        <v>45091</v>
      </c>
      <c r="K90">
        <v>30</v>
      </c>
      <c r="L90" s="1" t="s">
        <v>51</v>
      </c>
      <c r="M90" s="1" t="s">
        <v>24</v>
      </c>
      <c r="N90">
        <v>4.4999999999999998E-2</v>
      </c>
      <c r="O90">
        <v>27315.18</v>
      </c>
    </row>
    <row r="91" spans="1:15" x14ac:dyDescent="0.3">
      <c r="A91" s="1" t="s">
        <v>129</v>
      </c>
      <c r="B91" s="1" t="s">
        <v>37</v>
      </c>
      <c r="C91" s="1" t="s">
        <v>18</v>
      </c>
      <c r="D91">
        <v>3</v>
      </c>
      <c r="E91">
        <v>2</v>
      </c>
      <c r="F91">
        <v>3403</v>
      </c>
      <c r="G91">
        <v>1226820</v>
      </c>
      <c r="H91">
        <v>1198725</v>
      </c>
      <c r="I91" s="2">
        <v>45552</v>
      </c>
      <c r="J91" s="2">
        <v>45626</v>
      </c>
      <c r="K91">
        <v>74</v>
      </c>
      <c r="L91" s="1" t="s">
        <v>19</v>
      </c>
      <c r="M91" s="1" t="s">
        <v>28</v>
      </c>
      <c r="N91">
        <v>4.4999999999999998E-2</v>
      </c>
      <c r="O91">
        <v>53942.62</v>
      </c>
    </row>
    <row r="92" spans="1:15" x14ac:dyDescent="0.3">
      <c r="A92" s="1" t="s">
        <v>130</v>
      </c>
      <c r="B92" s="1" t="s">
        <v>48</v>
      </c>
      <c r="C92" s="1" t="s">
        <v>18</v>
      </c>
      <c r="D92">
        <v>3</v>
      </c>
      <c r="E92">
        <v>3</v>
      </c>
      <c r="F92">
        <v>2184</v>
      </c>
      <c r="G92">
        <v>1286620</v>
      </c>
      <c r="H92">
        <v>1234803</v>
      </c>
      <c r="I92" s="2">
        <v>45379</v>
      </c>
      <c r="J92" s="2">
        <v>45433</v>
      </c>
      <c r="K92">
        <v>54</v>
      </c>
      <c r="L92" s="1" t="s">
        <v>30</v>
      </c>
      <c r="M92" s="1" t="s">
        <v>28</v>
      </c>
      <c r="N92">
        <v>0.04</v>
      </c>
      <c r="O92">
        <v>49392.12</v>
      </c>
    </row>
    <row r="93" spans="1:15" x14ac:dyDescent="0.3">
      <c r="A93" s="1" t="s">
        <v>131</v>
      </c>
      <c r="B93" s="1" t="s">
        <v>41</v>
      </c>
      <c r="C93" s="1" t="s">
        <v>23</v>
      </c>
      <c r="D93">
        <v>2</v>
      </c>
      <c r="E93">
        <v>4</v>
      </c>
      <c r="F93">
        <v>2784</v>
      </c>
      <c r="G93">
        <v>1089075</v>
      </c>
      <c r="H93">
        <v>1010019</v>
      </c>
      <c r="I93" s="2">
        <v>45530</v>
      </c>
      <c r="J93" s="2">
        <v>45567</v>
      </c>
      <c r="K93">
        <v>37</v>
      </c>
      <c r="L93" s="1" t="s">
        <v>39</v>
      </c>
      <c r="M93" s="1" t="s">
        <v>20</v>
      </c>
      <c r="N93">
        <v>0.04</v>
      </c>
      <c r="O93">
        <v>40400.76</v>
      </c>
    </row>
    <row r="94" spans="1:15" x14ac:dyDescent="0.3">
      <c r="A94" s="1" t="s">
        <v>132</v>
      </c>
      <c r="B94" s="1" t="s">
        <v>59</v>
      </c>
      <c r="C94" s="1" t="s">
        <v>18</v>
      </c>
      <c r="D94">
        <v>1</v>
      </c>
      <c r="E94">
        <v>2</v>
      </c>
      <c r="F94">
        <v>1848</v>
      </c>
      <c r="G94">
        <v>556971</v>
      </c>
      <c r="H94">
        <v>484212</v>
      </c>
      <c r="I94" s="2">
        <v>45115</v>
      </c>
      <c r="J94" s="2">
        <v>45162</v>
      </c>
      <c r="K94">
        <v>47</v>
      </c>
      <c r="L94" s="1" t="s">
        <v>30</v>
      </c>
      <c r="M94" s="1" t="s">
        <v>28</v>
      </c>
      <c r="N94">
        <v>0.05</v>
      </c>
      <c r="O94">
        <v>24210.6</v>
      </c>
    </row>
    <row r="95" spans="1:15" x14ac:dyDescent="0.3">
      <c r="A95" s="1" t="s">
        <v>133</v>
      </c>
      <c r="B95" s="1" t="s">
        <v>22</v>
      </c>
      <c r="C95" s="1" t="s">
        <v>18</v>
      </c>
      <c r="D95">
        <v>4</v>
      </c>
      <c r="E95">
        <v>1</v>
      </c>
      <c r="F95">
        <v>902</v>
      </c>
      <c r="G95">
        <v>961038</v>
      </c>
      <c r="H95">
        <v>946082</v>
      </c>
      <c r="I95" s="2">
        <v>45388</v>
      </c>
      <c r="J95" s="2">
        <v>45444</v>
      </c>
      <c r="K95">
        <v>56</v>
      </c>
      <c r="L95" s="1" t="s">
        <v>30</v>
      </c>
      <c r="M95" s="1" t="s">
        <v>20</v>
      </c>
      <c r="N95">
        <v>0.05</v>
      </c>
      <c r="O95">
        <v>47304.1</v>
      </c>
    </row>
    <row r="96" spans="1:15" x14ac:dyDescent="0.3">
      <c r="A96" s="1" t="s">
        <v>134</v>
      </c>
      <c r="B96" s="1" t="s">
        <v>48</v>
      </c>
      <c r="C96" s="1" t="s">
        <v>35</v>
      </c>
      <c r="D96">
        <v>4</v>
      </c>
      <c r="E96">
        <v>4</v>
      </c>
      <c r="F96">
        <v>1550</v>
      </c>
      <c r="G96">
        <v>1162615</v>
      </c>
      <c r="H96">
        <v>1157598</v>
      </c>
      <c r="I96" s="2">
        <v>44932</v>
      </c>
      <c r="J96" s="2">
        <v>44963</v>
      </c>
      <c r="K96">
        <v>31</v>
      </c>
      <c r="L96" s="1" t="s">
        <v>51</v>
      </c>
      <c r="M96" s="1" t="s">
        <v>20</v>
      </c>
      <c r="N96">
        <v>0.04</v>
      </c>
      <c r="O96">
        <v>46303.92</v>
      </c>
    </row>
    <row r="97" spans="1:15" x14ac:dyDescent="0.3">
      <c r="A97" s="1" t="s">
        <v>135</v>
      </c>
      <c r="B97" s="1" t="s">
        <v>22</v>
      </c>
      <c r="C97" s="1" t="s">
        <v>33</v>
      </c>
      <c r="D97">
        <v>5</v>
      </c>
      <c r="E97">
        <v>4</v>
      </c>
      <c r="F97">
        <v>1402</v>
      </c>
      <c r="G97">
        <v>626417</v>
      </c>
      <c r="H97">
        <v>586490</v>
      </c>
      <c r="I97" s="2">
        <v>45438</v>
      </c>
      <c r="J97" s="2">
        <v>45448</v>
      </c>
      <c r="K97">
        <v>10</v>
      </c>
      <c r="L97" s="1" t="s">
        <v>42</v>
      </c>
      <c r="M97" s="1" t="s">
        <v>28</v>
      </c>
      <c r="N97">
        <v>0.05</v>
      </c>
      <c r="O97">
        <v>29324.5</v>
      </c>
    </row>
    <row r="98" spans="1:15" x14ac:dyDescent="0.3">
      <c r="A98" s="1" t="s">
        <v>136</v>
      </c>
      <c r="B98" s="1" t="s">
        <v>32</v>
      </c>
      <c r="C98" s="1" t="s">
        <v>35</v>
      </c>
      <c r="D98">
        <v>4</v>
      </c>
      <c r="E98">
        <v>4</v>
      </c>
      <c r="F98">
        <v>1918</v>
      </c>
      <c r="G98">
        <v>876144</v>
      </c>
      <c r="H98">
        <v>823303</v>
      </c>
      <c r="I98" s="2">
        <v>45104</v>
      </c>
      <c r="J98" s="2">
        <v>45187</v>
      </c>
      <c r="K98">
        <v>83</v>
      </c>
      <c r="L98" s="1" t="s">
        <v>19</v>
      </c>
      <c r="M98" s="1" t="s">
        <v>24</v>
      </c>
      <c r="N98">
        <v>0.05</v>
      </c>
      <c r="O98">
        <v>41165.15</v>
      </c>
    </row>
    <row r="99" spans="1:15" x14ac:dyDescent="0.3">
      <c r="A99" s="1" t="s">
        <v>137</v>
      </c>
      <c r="B99" s="1" t="s">
        <v>22</v>
      </c>
      <c r="C99" s="1" t="s">
        <v>23</v>
      </c>
      <c r="D99">
        <v>3</v>
      </c>
      <c r="E99">
        <v>2</v>
      </c>
      <c r="F99">
        <v>2637</v>
      </c>
      <c r="G99">
        <v>1122463</v>
      </c>
      <c r="H99">
        <v>1114292</v>
      </c>
      <c r="I99" s="2">
        <v>45399</v>
      </c>
      <c r="J99" s="2">
        <v>45433</v>
      </c>
      <c r="K99">
        <v>34</v>
      </c>
      <c r="L99" s="1" t="s">
        <v>39</v>
      </c>
      <c r="M99" s="1" t="s">
        <v>28</v>
      </c>
      <c r="N99">
        <v>4.4999999999999998E-2</v>
      </c>
      <c r="O99">
        <v>50143.14</v>
      </c>
    </row>
    <row r="100" spans="1:15" x14ac:dyDescent="0.3">
      <c r="A100" s="1" t="s">
        <v>138</v>
      </c>
      <c r="B100" s="1" t="s">
        <v>26</v>
      </c>
      <c r="C100" s="1" t="s">
        <v>23</v>
      </c>
      <c r="D100">
        <v>1</v>
      </c>
      <c r="E100">
        <v>4</v>
      </c>
      <c r="F100">
        <v>2991</v>
      </c>
      <c r="G100">
        <v>824468</v>
      </c>
      <c r="H100">
        <v>770398</v>
      </c>
      <c r="I100" s="2">
        <v>45369</v>
      </c>
      <c r="J100" s="2">
        <v>45443</v>
      </c>
      <c r="K100">
        <v>74</v>
      </c>
      <c r="L100" s="1" t="s">
        <v>44</v>
      </c>
      <c r="M100" s="1" t="s">
        <v>20</v>
      </c>
      <c r="N100">
        <v>4.4999999999999998E-2</v>
      </c>
      <c r="O100">
        <v>34667.910000000003</v>
      </c>
    </row>
    <row r="101" spans="1:15" x14ac:dyDescent="0.3">
      <c r="A101" s="1" t="s">
        <v>139</v>
      </c>
      <c r="B101" s="1" t="s">
        <v>41</v>
      </c>
      <c r="C101" s="1" t="s">
        <v>33</v>
      </c>
      <c r="D101">
        <v>4</v>
      </c>
      <c r="E101">
        <v>4</v>
      </c>
      <c r="F101">
        <v>1031</v>
      </c>
      <c r="G101">
        <v>972423</v>
      </c>
      <c r="H101">
        <v>959348</v>
      </c>
      <c r="I101" s="2">
        <v>45336</v>
      </c>
      <c r="J101" s="2">
        <v>45366</v>
      </c>
      <c r="K101">
        <v>30</v>
      </c>
      <c r="L101" s="1" t="s">
        <v>39</v>
      </c>
      <c r="M101" s="1" t="s">
        <v>28</v>
      </c>
      <c r="N101">
        <v>0.05</v>
      </c>
      <c r="O101">
        <v>47967.4</v>
      </c>
    </row>
    <row r="102" spans="1:15" x14ac:dyDescent="0.3">
      <c r="A102" s="1" t="s">
        <v>140</v>
      </c>
      <c r="B102" s="1" t="s">
        <v>26</v>
      </c>
      <c r="C102" s="1" t="s">
        <v>18</v>
      </c>
      <c r="D102">
        <v>2</v>
      </c>
      <c r="E102">
        <v>3</v>
      </c>
      <c r="F102">
        <v>2933</v>
      </c>
      <c r="G102">
        <v>855405</v>
      </c>
      <c r="H102">
        <v>830794</v>
      </c>
      <c r="I102" s="2">
        <v>45284</v>
      </c>
      <c r="J102" s="2">
        <v>45346</v>
      </c>
      <c r="K102">
        <v>62</v>
      </c>
      <c r="L102" s="1" t="s">
        <v>42</v>
      </c>
      <c r="M102" s="1" t="s">
        <v>24</v>
      </c>
      <c r="N102">
        <v>0.04</v>
      </c>
      <c r="O102">
        <v>33231.760000000002</v>
      </c>
    </row>
    <row r="103" spans="1:15" x14ac:dyDescent="0.3">
      <c r="A103" s="1" t="s">
        <v>141</v>
      </c>
      <c r="B103" s="1" t="s">
        <v>59</v>
      </c>
      <c r="C103" s="1" t="s">
        <v>38</v>
      </c>
      <c r="D103">
        <v>3</v>
      </c>
      <c r="E103">
        <v>1</v>
      </c>
      <c r="F103">
        <v>878</v>
      </c>
      <c r="G103">
        <v>1084999</v>
      </c>
      <c r="H103">
        <v>1046042</v>
      </c>
      <c r="I103" s="2">
        <v>45308</v>
      </c>
      <c r="J103" s="2">
        <v>45318</v>
      </c>
      <c r="K103">
        <v>10</v>
      </c>
      <c r="L103" s="1" t="s">
        <v>51</v>
      </c>
      <c r="M103" s="1" t="s">
        <v>20</v>
      </c>
      <c r="N103">
        <v>0.05</v>
      </c>
      <c r="O103">
        <v>52302.1</v>
      </c>
    </row>
    <row r="104" spans="1:15" x14ac:dyDescent="0.3">
      <c r="A104" s="1" t="s">
        <v>142</v>
      </c>
      <c r="B104" s="1" t="s">
        <v>26</v>
      </c>
      <c r="C104" s="1" t="s">
        <v>33</v>
      </c>
      <c r="D104">
        <v>2</v>
      </c>
      <c r="E104">
        <v>4</v>
      </c>
      <c r="F104">
        <v>3238</v>
      </c>
      <c r="G104">
        <v>352846</v>
      </c>
      <c r="H104">
        <v>291790</v>
      </c>
      <c r="I104" s="2">
        <v>45309</v>
      </c>
      <c r="J104" s="2">
        <v>45393</v>
      </c>
      <c r="K104">
        <v>84</v>
      </c>
      <c r="L104" s="1" t="s">
        <v>51</v>
      </c>
      <c r="M104" s="1" t="s">
        <v>28</v>
      </c>
      <c r="N104">
        <v>0.04</v>
      </c>
      <c r="O104">
        <v>11671.6</v>
      </c>
    </row>
    <row r="105" spans="1:15" x14ac:dyDescent="0.3">
      <c r="A105" s="1" t="s">
        <v>143</v>
      </c>
      <c r="B105" s="1" t="s">
        <v>48</v>
      </c>
      <c r="C105" s="1" t="s">
        <v>18</v>
      </c>
      <c r="D105">
        <v>1</v>
      </c>
      <c r="E105">
        <v>2</v>
      </c>
      <c r="F105">
        <v>1410</v>
      </c>
      <c r="G105">
        <v>391336</v>
      </c>
      <c r="H105">
        <v>320565</v>
      </c>
      <c r="I105" s="2">
        <v>45231</v>
      </c>
      <c r="J105" s="2">
        <v>45238</v>
      </c>
      <c r="K105">
        <v>7</v>
      </c>
      <c r="L105" s="1" t="s">
        <v>44</v>
      </c>
      <c r="M105" s="1" t="s">
        <v>28</v>
      </c>
      <c r="N105">
        <v>4.4999999999999998E-2</v>
      </c>
      <c r="O105">
        <v>14425.42</v>
      </c>
    </row>
    <row r="106" spans="1:15" x14ac:dyDescent="0.3">
      <c r="A106" s="1" t="s">
        <v>144</v>
      </c>
      <c r="B106" s="1" t="s">
        <v>48</v>
      </c>
      <c r="C106" s="1" t="s">
        <v>23</v>
      </c>
      <c r="D106">
        <v>5</v>
      </c>
      <c r="E106">
        <v>1</v>
      </c>
      <c r="F106">
        <v>3149</v>
      </c>
      <c r="G106">
        <v>566465</v>
      </c>
      <c r="H106">
        <v>533270</v>
      </c>
      <c r="I106" s="2">
        <v>44997</v>
      </c>
      <c r="J106" s="2">
        <v>45010</v>
      </c>
      <c r="K106">
        <v>13</v>
      </c>
      <c r="L106" s="1" t="s">
        <v>44</v>
      </c>
      <c r="M106" s="1" t="s">
        <v>24</v>
      </c>
      <c r="N106">
        <v>0.04</v>
      </c>
      <c r="O106">
        <v>21330.799999999999</v>
      </c>
    </row>
    <row r="107" spans="1:15" x14ac:dyDescent="0.3">
      <c r="A107" s="1" t="s">
        <v>145</v>
      </c>
      <c r="B107" s="1" t="s">
        <v>48</v>
      </c>
      <c r="C107" s="1" t="s">
        <v>18</v>
      </c>
      <c r="D107">
        <v>2</v>
      </c>
      <c r="E107">
        <v>4</v>
      </c>
      <c r="F107">
        <v>1082</v>
      </c>
      <c r="G107">
        <v>1660641</v>
      </c>
      <c r="H107">
        <v>1587602</v>
      </c>
      <c r="I107" s="2">
        <v>44929</v>
      </c>
      <c r="J107" s="2">
        <v>44949</v>
      </c>
      <c r="K107">
        <v>20</v>
      </c>
      <c r="L107" s="1" t="s">
        <v>44</v>
      </c>
      <c r="M107" s="1" t="s">
        <v>28</v>
      </c>
      <c r="N107">
        <v>4.4999999999999998E-2</v>
      </c>
      <c r="O107">
        <v>71442.09</v>
      </c>
    </row>
    <row r="108" spans="1:15" x14ac:dyDescent="0.3">
      <c r="A108" s="1" t="s">
        <v>146</v>
      </c>
      <c r="B108" s="1" t="s">
        <v>22</v>
      </c>
      <c r="C108" s="1" t="s">
        <v>23</v>
      </c>
      <c r="D108">
        <v>4</v>
      </c>
      <c r="E108">
        <v>1</v>
      </c>
      <c r="F108">
        <v>3145</v>
      </c>
      <c r="G108">
        <v>1245922</v>
      </c>
      <c r="H108">
        <v>1166315</v>
      </c>
      <c r="I108" s="2">
        <v>45044</v>
      </c>
      <c r="J108" s="2">
        <v>45052</v>
      </c>
      <c r="K108">
        <v>8</v>
      </c>
      <c r="L108" s="1" t="s">
        <v>42</v>
      </c>
      <c r="M108" s="1" t="s">
        <v>24</v>
      </c>
      <c r="N108">
        <v>0.05</v>
      </c>
      <c r="O108">
        <v>58315.75</v>
      </c>
    </row>
    <row r="109" spans="1:15" x14ac:dyDescent="0.3">
      <c r="A109" s="1" t="s">
        <v>147</v>
      </c>
      <c r="B109" s="1" t="s">
        <v>32</v>
      </c>
      <c r="C109" s="1" t="s">
        <v>23</v>
      </c>
      <c r="D109">
        <v>1</v>
      </c>
      <c r="E109">
        <v>2</v>
      </c>
      <c r="F109">
        <v>2329</v>
      </c>
      <c r="G109">
        <v>753838</v>
      </c>
      <c r="H109">
        <v>724161</v>
      </c>
      <c r="I109" s="2">
        <v>45622</v>
      </c>
      <c r="J109" s="2">
        <v>45703</v>
      </c>
      <c r="K109">
        <v>81</v>
      </c>
      <c r="L109" s="1" t="s">
        <v>27</v>
      </c>
      <c r="M109" s="1" t="s">
        <v>28</v>
      </c>
      <c r="N109">
        <v>0.04</v>
      </c>
      <c r="O109">
        <v>28966.44</v>
      </c>
    </row>
    <row r="110" spans="1:15" x14ac:dyDescent="0.3">
      <c r="A110" s="1" t="s">
        <v>148</v>
      </c>
      <c r="B110" s="1" t="s">
        <v>26</v>
      </c>
      <c r="C110" s="1" t="s">
        <v>38</v>
      </c>
      <c r="D110">
        <v>1</v>
      </c>
      <c r="E110">
        <v>3</v>
      </c>
      <c r="F110">
        <v>1307</v>
      </c>
      <c r="G110">
        <v>532814</v>
      </c>
      <c r="H110">
        <v>468421</v>
      </c>
      <c r="I110" s="2">
        <v>45099</v>
      </c>
      <c r="J110" s="2">
        <v>45123</v>
      </c>
      <c r="K110">
        <v>24</v>
      </c>
      <c r="L110" s="1" t="s">
        <v>19</v>
      </c>
      <c r="M110" s="1" t="s">
        <v>28</v>
      </c>
      <c r="N110">
        <v>0.05</v>
      </c>
      <c r="O110">
        <v>23421.05</v>
      </c>
    </row>
    <row r="111" spans="1:15" x14ac:dyDescent="0.3">
      <c r="A111" s="1" t="s">
        <v>149</v>
      </c>
      <c r="B111" s="1" t="s">
        <v>26</v>
      </c>
      <c r="C111" s="1" t="s">
        <v>38</v>
      </c>
      <c r="D111">
        <v>5</v>
      </c>
      <c r="E111">
        <v>3</v>
      </c>
      <c r="F111">
        <v>2524</v>
      </c>
      <c r="G111">
        <v>644637</v>
      </c>
      <c r="H111">
        <v>608565</v>
      </c>
      <c r="I111" s="2">
        <v>45234</v>
      </c>
      <c r="J111" s="2">
        <v>45297</v>
      </c>
      <c r="K111">
        <v>63</v>
      </c>
      <c r="L111" s="1" t="s">
        <v>44</v>
      </c>
      <c r="M111" s="1" t="s">
        <v>24</v>
      </c>
      <c r="N111">
        <v>0.05</v>
      </c>
      <c r="O111">
        <v>30428.25</v>
      </c>
    </row>
    <row r="112" spans="1:15" x14ac:dyDescent="0.3">
      <c r="A112" s="1" t="s">
        <v>150</v>
      </c>
      <c r="B112" s="1" t="s">
        <v>32</v>
      </c>
      <c r="C112" s="1" t="s">
        <v>18</v>
      </c>
      <c r="D112">
        <v>4</v>
      </c>
      <c r="E112">
        <v>4</v>
      </c>
      <c r="F112">
        <v>1113</v>
      </c>
      <c r="G112">
        <v>1360602</v>
      </c>
      <c r="H112">
        <v>1334000</v>
      </c>
      <c r="I112" s="2">
        <v>45050</v>
      </c>
      <c r="J112" s="2">
        <v>45140</v>
      </c>
      <c r="K112">
        <v>90</v>
      </c>
      <c r="L112" s="1" t="s">
        <v>39</v>
      </c>
      <c r="M112" s="1" t="s">
        <v>28</v>
      </c>
      <c r="N112">
        <v>0.04</v>
      </c>
      <c r="O112">
        <v>53360</v>
      </c>
    </row>
    <row r="113" spans="1:15" x14ac:dyDescent="0.3">
      <c r="A113" s="1" t="s">
        <v>151</v>
      </c>
      <c r="B113" s="1" t="s">
        <v>48</v>
      </c>
      <c r="C113" s="1" t="s">
        <v>38</v>
      </c>
      <c r="D113">
        <v>2</v>
      </c>
      <c r="E113">
        <v>1</v>
      </c>
      <c r="F113">
        <v>3063</v>
      </c>
      <c r="G113">
        <v>1778842</v>
      </c>
      <c r="H113">
        <v>1747783</v>
      </c>
      <c r="I113" s="2">
        <v>45626</v>
      </c>
      <c r="J113" s="2">
        <v>45673</v>
      </c>
      <c r="K113">
        <v>47</v>
      </c>
      <c r="L113" s="1" t="s">
        <v>27</v>
      </c>
      <c r="M113" s="1" t="s">
        <v>28</v>
      </c>
      <c r="N113">
        <v>0.05</v>
      </c>
      <c r="O113">
        <v>87389.15</v>
      </c>
    </row>
    <row r="114" spans="1:15" x14ac:dyDescent="0.3">
      <c r="A114" s="1" t="s">
        <v>152</v>
      </c>
      <c r="B114" s="1" t="s">
        <v>37</v>
      </c>
      <c r="C114" s="1" t="s">
        <v>35</v>
      </c>
      <c r="D114">
        <v>5</v>
      </c>
      <c r="E114">
        <v>2</v>
      </c>
      <c r="F114">
        <v>2105</v>
      </c>
      <c r="G114">
        <v>1499213</v>
      </c>
      <c r="H114">
        <v>1470084</v>
      </c>
      <c r="I114" s="2">
        <v>45033</v>
      </c>
      <c r="J114" s="2">
        <v>45119</v>
      </c>
      <c r="K114">
        <v>86</v>
      </c>
      <c r="L114" s="1" t="s">
        <v>19</v>
      </c>
      <c r="M114" s="1" t="s">
        <v>20</v>
      </c>
      <c r="N114">
        <v>0.05</v>
      </c>
      <c r="O114">
        <v>73504.2</v>
      </c>
    </row>
    <row r="115" spans="1:15" x14ac:dyDescent="0.3">
      <c r="A115" s="1" t="s">
        <v>153</v>
      </c>
      <c r="B115" s="1" t="s">
        <v>22</v>
      </c>
      <c r="C115" s="1" t="s">
        <v>35</v>
      </c>
      <c r="D115">
        <v>2</v>
      </c>
      <c r="E115">
        <v>1</v>
      </c>
      <c r="F115">
        <v>1218</v>
      </c>
      <c r="G115">
        <v>980553</v>
      </c>
      <c r="H115">
        <v>906862</v>
      </c>
      <c r="I115" s="2">
        <v>45519</v>
      </c>
      <c r="J115" s="2">
        <v>45539</v>
      </c>
      <c r="K115">
        <v>20</v>
      </c>
      <c r="L115" s="1" t="s">
        <v>53</v>
      </c>
      <c r="M115" s="1" t="s">
        <v>24</v>
      </c>
      <c r="N115">
        <v>0.04</v>
      </c>
      <c r="O115">
        <v>36274.480000000003</v>
      </c>
    </row>
    <row r="116" spans="1:15" x14ac:dyDescent="0.3">
      <c r="A116" s="1" t="s">
        <v>154</v>
      </c>
      <c r="B116" s="1" t="s">
        <v>59</v>
      </c>
      <c r="C116" s="1" t="s">
        <v>18</v>
      </c>
      <c r="D116">
        <v>3</v>
      </c>
      <c r="E116">
        <v>2</v>
      </c>
      <c r="F116">
        <v>2153</v>
      </c>
      <c r="G116">
        <v>994236</v>
      </c>
      <c r="H116">
        <v>917022</v>
      </c>
      <c r="I116" s="2">
        <v>44975</v>
      </c>
      <c r="J116" s="2">
        <v>45052</v>
      </c>
      <c r="K116">
        <v>77</v>
      </c>
      <c r="L116" s="1" t="s">
        <v>39</v>
      </c>
      <c r="M116" s="1" t="s">
        <v>28</v>
      </c>
      <c r="N116">
        <v>0.05</v>
      </c>
      <c r="O116">
        <v>45851.1</v>
      </c>
    </row>
    <row r="117" spans="1:15" x14ac:dyDescent="0.3">
      <c r="A117" s="1" t="s">
        <v>155</v>
      </c>
      <c r="B117" s="1" t="s">
        <v>32</v>
      </c>
      <c r="C117" s="1" t="s">
        <v>38</v>
      </c>
      <c r="D117">
        <v>5</v>
      </c>
      <c r="E117">
        <v>2</v>
      </c>
      <c r="F117">
        <v>1789</v>
      </c>
      <c r="G117">
        <v>865826</v>
      </c>
      <c r="H117">
        <v>857769</v>
      </c>
      <c r="I117" s="2">
        <v>44997</v>
      </c>
      <c r="J117" s="2">
        <v>45062</v>
      </c>
      <c r="K117">
        <v>65</v>
      </c>
      <c r="L117" s="1" t="s">
        <v>51</v>
      </c>
      <c r="M117" s="1" t="s">
        <v>28</v>
      </c>
      <c r="N117">
        <v>0.05</v>
      </c>
      <c r="O117">
        <v>42888.45</v>
      </c>
    </row>
    <row r="118" spans="1:15" x14ac:dyDescent="0.3">
      <c r="A118" s="1" t="s">
        <v>156</v>
      </c>
      <c r="B118" s="1" t="s">
        <v>17</v>
      </c>
      <c r="C118" s="1" t="s">
        <v>33</v>
      </c>
      <c r="D118">
        <v>5</v>
      </c>
      <c r="E118">
        <v>2</v>
      </c>
      <c r="F118">
        <v>2094</v>
      </c>
      <c r="G118">
        <v>385696</v>
      </c>
      <c r="H118">
        <v>366464</v>
      </c>
      <c r="I118" s="2">
        <v>45109</v>
      </c>
      <c r="J118" s="2">
        <v>45162</v>
      </c>
      <c r="K118">
        <v>53</v>
      </c>
      <c r="L118" s="1" t="s">
        <v>39</v>
      </c>
      <c r="M118" s="1" t="s">
        <v>24</v>
      </c>
      <c r="N118">
        <v>4.4999999999999998E-2</v>
      </c>
      <c r="O118">
        <v>16490.88</v>
      </c>
    </row>
    <row r="119" spans="1:15" x14ac:dyDescent="0.3">
      <c r="A119" s="1" t="s">
        <v>157</v>
      </c>
      <c r="B119" s="1" t="s">
        <v>41</v>
      </c>
      <c r="C119" s="1" t="s">
        <v>35</v>
      </c>
      <c r="D119">
        <v>3</v>
      </c>
      <c r="E119">
        <v>1</v>
      </c>
      <c r="F119">
        <v>2810</v>
      </c>
      <c r="G119">
        <v>1757828</v>
      </c>
      <c r="H119">
        <v>1730086</v>
      </c>
      <c r="I119" s="2">
        <v>45326</v>
      </c>
      <c r="J119" s="2">
        <v>45373</v>
      </c>
      <c r="K119">
        <v>47</v>
      </c>
      <c r="L119" s="1" t="s">
        <v>42</v>
      </c>
      <c r="M119" s="1" t="s">
        <v>28</v>
      </c>
      <c r="N119">
        <v>0.05</v>
      </c>
      <c r="O119">
        <v>86504.3</v>
      </c>
    </row>
    <row r="120" spans="1:15" x14ac:dyDescent="0.3">
      <c r="A120" s="1" t="s">
        <v>158</v>
      </c>
      <c r="B120" s="1" t="s">
        <v>32</v>
      </c>
      <c r="C120" s="1" t="s">
        <v>38</v>
      </c>
      <c r="D120">
        <v>4</v>
      </c>
      <c r="E120">
        <v>2</v>
      </c>
      <c r="F120">
        <v>3327</v>
      </c>
      <c r="G120">
        <v>510263</v>
      </c>
      <c r="H120">
        <v>487859</v>
      </c>
      <c r="I120" s="2">
        <v>45137</v>
      </c>
      <c r="J120" s="2">
        <v>45161</v>
      </c>
      <c r="K120">
        <v>24</v>
      </c>
      <c r="L120" s="1" t="s">
        <v>27</v>
      </c>
      <c r="M120" s="1" t="s">
        <v>28</v>
      </c>
      <c r="N120">
        <v>4.4999999999999998E-2</v>
      </c>
      <c r="O120">
        <v>21953.65</v>
      </c>
    </row>
    <row r="121" spans="1:15" x14ac:dyDescent="0.3">
      <c r="A121" s="1" t="s">
        <v>159</v>
      </c>
      <c r="B121" s="1" t="s">
        <v>22</v>
      </c>
      <c r="C121" s="1" t="s">
        <v>38</v>
      </c>
      <c r="D121">
        <v>5</v>
      </c>
      <c r="E121">
        <v>4</v>
      </c>
      <c r="F121">
        <v>2812</v>
      </c>
      <c r="G121">
        <v>637091</v>
      </c>
      <c r="H121">
        <v>610001</v>
      </c>
      <c r="I121" s="2">
        <v>45579</v>
      </c>
      <c r="J121" s="2">
        <v>45646</v>
      </c>
      <c r="K121">
        <v>67</v>
      </c>
      <c r="L121" s="1" t="s">
        <v>19</v>
      </c>
      <c r="M121" s="1" t="s">
        <v>24</v>
      </c>
      <c r="N121">
        <v>0.04</v>
      </c>
      <c r="O121">
        <v>24400.04</v>
      </c>
    </row>
    <row r="122" spans="1:15" x14ac:dyDescent="0.3">
      <c r="A122" s="1" t="s">
        <v>160</v>
      </c>
      <c r="B122" s="1" t="s">
        <v>17</v>
      </c>
      <c r="C122" s="1" t="s">
        <v>23</v>
      </c>
      <c r="D122">
        <v>4</v>
      </c>
      <c r="E122">
        <v>4</v>
      </c>
      <c r="F122">
        <v>1111</v>
      </c>
      <c r="G122">
        <v>915660</v>
      </c>
      <c r="H122">
        <v>852925</v>
      </c>
      <c r="I122" s="2">
        <v>45511</v>
      </c>
      <c r="J122" s="2">
        <v>45568</v>
      </c>
      <c r="K122">
        <v>57</v>
      </c>
      <c r="L122" s="1" t="s">
        <v>51</v>
      </c>
      <c r="M122" s="1" t="s">
        <v>28</v>
      </c>
      <c r="N122">
        <v>0.04</v>
      </c>
      <c r="O122">
        <v>34117</v>
      </c>
    </row>
    <row r="123" spans="1:15" x14ac:dyDescent="0.3">
      <c r="A123" s="1" t="s">
        <v>161</v>
      </c>
      <c r="B123" s="1" t="s">
        <v>17</v>
      </c>
      <c r="C123" s="1" t="s">
        <v>23</v>
      </c>
      <c r="D123">
        <v>3</v>
      </c>
      <c r="E123">
        <v>3</v>
      </c>
      <c r="F123">
        <v>1935</v>
      </c>
      <c r="G123">
        <v>1745257</v>
      </c>
      <c r="H123">
        <v>1736622</v>
      </c>
      <c r="I123" s="2">
        <v>45466</v>
      </c>
      <c r="J123" s="2">
        <v>45520</v>
      </c>
      <c r="K123">
        <v>54</v>
      </c>
      <c r="L123" s="1" t="s">
        <v>42</v>
      </c>
      <c r="M123" s="1" t="s">
        <v>20</v>
      </c>
      <c r="N123">
        <v>0.04</v>
      </c>
      <c r="O123">
        <v>69464.88</v>
      </c>
    </row>
    <row r="124" spans="1:15" x14ac:dyDescent="0.3">
      <c r="A124" s="1" t="s">
        <v>162</v>
      </c>
      <c r="B124" s="1" t="s">
        <v>59</v>
      </c>
      <c r="C124" s="1" t="s">
        <v>23</v>
      </c>
      <c r="D124">
        <v>5</v>
      </c>
      <c r="E124">
        <v>1</v>
      </c>
      <c r="F124">
        <v>3040</v>
      </c>
      <c r="G124">
        <v>1340297</v>
      </c>
      <c r="H124">
        <v>1293380</v>
      </c>
      <c r="I124" s="2">
        <v>45025</v>
      </c>
      <c r="J124" s="2">
        <v>45035</v>
      </c>
      <c r="K124">
        <v>10</v>
      </c>
      <c r="L124" s="1" t="s">
        <v>27</v>
      </c>
      <c r="M124" s="1" t="s">
        <v>24</v>
      </c>
      <c r="N124">
        <v>0.05</v>
      </c>
      <c r="O124">
        <v>64669</v>
      </c>
    </row>
    <row r="125" spans="1:15" x14ac:dyDescent="0.3">
      <c r="A125" s="1" t="s">
        <v>163</v>
      </c>
      <c r="B125" s="1" t="s">
        <v>41</v>
      </c>
      <c r="C125" s="1" t="s">
        <v>38</v>
      </c>
      <c r="D125">
        <v>4</v>
      </c>
      <c r="E125">
        <v>3</v>
      </c>
      <c r="F125">
        <v>1815</v>
      </c>
      <c r="G125">
        <v>397165</v>
      </c>
      <c r="H125">
        <v>361451</v>
      </c>
      <c r="I125" s="2">
        <v>45268</v>
      </c>
      <c r="J125" s="2">
        <v>45299</v>
      </c>
      <c r="K125">
        <v>31</v>
      </c>
      <c r="L125" s="1" t="s">
        <v>51</v>
      </c>
      <c r="M125" s="1" t="s">
        <v>20</v>
      </c>
      <c r="N125">
        <v>0.05</v>
      </c>
      <c r="O125">
        <v>18072.55</v>
      </c>
    </row>
    <row r="126" spans="1:15" x14ac:dyDescent="0.3">
      <c r="A126" s="1" t="s">
        <v>164</v>
      </c>
      <c r="B126" s="1" t="s">
        <v>26</v>
      </c>
      <c r="C126" s="1" t="s">
        <v>23</v>
      </c>
      <c r="D126">
        <v>5</v>
      </c>
      <c r="E126">
        <v>1</v>
      </c>
      <c r="F126">
        <v>2149</v>
      </c>
      <c r="G126">
        <v>1792597</v>
      </c>
      <c r="H126">
        <v>1769882</v>
      </c>
      <c r="I126" s="2">
        <v>45607</v>
      </c>
      <c r="J126" s="2">
        <v>45648</v>
      </c>
      <c r="K126">
        <v>41</v>
      </c>
      <c r="L126" s="1" t="s">
        <v>51</v>
      </c>
      <c r="M126" s="1" t="s">
        <v>28</v>
      </c>
      <c r="N126">
        <v>0.05</v>
      </c>
      <c r="O126">
        <v>88494.1</v>
      </c>
    </row>
    <row r="127" spans="1:15" x14ac:dyDescent="0.3">
      <c r="A127" s="1" t="s">
        <v>165</v>
      </c>
      <c r="B127" s="1" t="s">
        <v>26</v>
      </c>
      <c r="C127" s="1" t="s">
        <v>38</v>
      </c>
      <c r="D127">
        <v>2</v>
      </c>
      <c r="E127">
        <v>3</v>
      </c>
      <c r="F127">
        <v>1082</v>
      </c>
      <c r="G127">
        <v>1743828</v>
      </c>
      <c r="H127">
        <v>1736428</v>
      </c>
      <c r="I127" s="2">
        <v>45453</v>
      </c>
      <c r="J127" s="2">
        <v>45487</v>
      </c>
      <c r="K127">
        <v>34</v>
      </c>
      <c r="L127" s="1" t="s">
        <v>30</v>
      </c>
      <c r="M127" s="1" t="s">
        <v>24</v>
      </c>
      <c r="N127">
        <v>0.05</v>
      </c>
      <c r="O127">
        <v>86821.4</v>
      </c>
    </row>
    <row r="128" spans="1:15" x14ac:dyDescent="0.3">
      <c r="A128" s="1" t="s">
        <v>166</v>
      </c>
      <c r="B128" s="1" t="s">
        <v>48</v>
      </c>
      <c r="C128" s="1" t="s">
        <v>35</v>
      </c>
      <c r="D128">
        <v>4</v>
      </c>
      <c r="E128">
        <v>4</v>
      </c>
      <c r="F128">
        <v>3102</v>
      </c>
      <c r="G128">
        <v>1743279</v>
      </c>
      <c r="H128">
        <v>1693393</v>
      </c>
      <c r="I128" s="2">
        <v>45546</v>
      </c>
      <c r="J128" s="2">
        <v>45625</v>
      </c>
      <c r="K128">
        <v>79</v>
      </c>
      <c r="L128" s="1" t="s">
        <v>51</v>
      </c>
      <c r="M128" s="1" t="s">
        <v>20</v>
      </c>
      <c r="N128">
        <v>0.04</v>
      </c>
      <c r="O128">
        <v>67735.72</v>
      </c>
    </row>
    <row r="129" spans="1:15" x14ac:dyDescent="0.3">
      <c r="A129" s="1" t="s">
        <v>167</v>
      </c>
      <c r="B129" s="1" t="s">
        <v>48</v>
      </c>
      <c r="C129" s="1" t="s">
        <v>23</v>
      </c>
      <c r="D129">
        <v>4</v>
      </c>
      <c r="E129">
        <v>2</v>
      </c>
      <c r="F129">
        <v>2018</v>
      </c>
      <c r="G129">
        <v>923925</v>
      </c>
      <c r="H129">
        <v>880524</v>
      </c>
      <c r="I129" s="2">
        <v>45299</v>
      </c>
      <c r="J129" s="2">
        <v>45334</v>
      </c>
      <c r="K129">
        <v>35</v>
      </c>
      <c r="L129" s="1" t="s">
        <v>51</v>
      </c>
      <c r="M129" s="1" t="s">
        <v>28</v>
      </c>
      <c r="N129">
        <v>4.4999999999999998E-2</v>
      </c>
      <c r="O129">
        <v>39623.58</v>
      </c>
    </row>
    <row r="130" spans="1:15" x14ac:dyDescent="0.3">
      <c r="A130" s="1" t="s">
        <v>168</v>
      </c>
      <c r="B130" s="1" t="s">
        <v>37</v>
      </c>
      <c r="C130" s="1" t="s">
        <v>23</v>
      </c>
      <c r="D130">
        <v>2</v>
      </c>
      <c r="E130">
        <v>2</v>
      </c>
      <c r="F130">
        <v>926</v>
      </c>
      <c r="G130">
        <v>771771</v>
      </c>
      <c r="H130">
        <v>701714</v>
      </c>
      <c r="I130" s="2">
        <v>45084</v>
      </c>
      <c r="J130" s="2">
        <v>45128</v>
      </c>
      <c r="K130">
        <v>44</v>
      </c>
      <c r="L130" s="1" t="s">
        <v>53</v>
      </c>
      <c r="M130" s="1" t="s">
        <v>20</v>
      </c>
      <c r="N130">
        <v>0.05</v>
      </c>
      <c r="O130">
        <v>35085.699999999997</v>
      </c>
    </row>
    <row r="131" spans="1:15" x14ac:dyDescent="0.3">
      <c r="A131" s="1" t="s">
        <v>169</v>
      </c>
      <c r="B131" s="1" t="s">
        <v>22</v>
      </c>
      <c r="C131" s="1" t="s">
        <v>33</v>
      </c>
      <c r="D131">
        <v>2</v>
      </c>
      <c r="E131">
        <v>1</v>
      </c>
      <c r="F131">
        <v>3088</v>
      </c>
      <c r="G131">
        <v>1777036</v>
      </c>
      <c r="H131">
        <v>1758370</v>
      </c>
      <c r="I131" s="2">
        <v>45288</v>
      </c>
      <c r="J131" s="2">
        <v>45375</v>
      </c>
      <c r="K131">
        <v>87</v>
      </c>
      <c r="L131" s="1" t="s">
        <v>51</v>
      </c>
      <c r="M131" s="1" t="s">
        <v>24</v>
      </c>
      <c r="N131">
        <v>0.04</v>
      </c>
      <c r="O131">
        <v>70334.8</v>
      </c>
    </row>
    <row r="132" spans="1:15" x14ac:dyDescent="0.3">
      <c r="A132" s="1" t="s">
        <v>170</v>
      </c>
      <c r="B132" s="1" t="s">
        <v>32</v>
      </c>
      <c r="C132" s="1" t="s">
        <v>33</v>
      </c>
      <c r="D132">
        <v>1</v>
      </c>
      <c r="E132">
        <v>1</v>
      </c>
      <c r="F132">
        <v>694</v>
      </c>
      <c r="G132">
        <v>1088771</v>
      </c>
      <c r="H132">
        <v>1073784</v>
      </c>
      <c r="I132" s="2">
        <v>45240</v>
      </c>
      <c r="J132" s="2">
        <v>45282</v>
      </c>
      <c r="K132">
        <v>42</v>
      </c>
      <c r="L132" s="1" t="s">
        <v>51</v>
      </c>
      <c r="M132" s="1" t="s">
        <v>28</v>
      </c>
      <c r="N132">
        <v>0.04</v>
      </c>
      <c r="O132">
        <v>42951.360000000001</v>
      </c>
    </row>
    <row r="133" spans="1:15" x14ac:dyDescent="0.3">
      <c r="A133" s="1" t="s">
        <v>171</v>
      </c>
      <c r="B133" s="1" t="s">
        <v>59</v>
      </c>
      <c r="C133" s="1" t="s">
        <v>33</v>
      </c>
      <c r="D133">
        <v>1</v>
      </c>
      <c r="E133">
        <v>2</v>
      </c>
      <c r="F133">
        <v>1760</v>
      </c>
      <c r="G133">
        <v>422943</v>
      </c>
      <c r="H133">
        <v>419774</v>
      </c>
      <c r="I133" s="2">
        <v>45112</v>
      </c>
      <c r="J133" s="2">
        <v>45168</v>
      </c>
      <c r="K133">
        <v>56</v>
      </c>
      <c r="L133" s="1" t="s">
        <v>39</v>
      </c>
      <c r="M133" s="1" t="s">
        <v>20</v>
      </c>
      <c r="N133">
        <v>0.04</v>
      </c>
      <c r="O133">
        <v>16790.96</v>
      </c>
    </row>
    <row r="134" spans="1:15" x14ac:dyDescent="0.3">
      <c r="A134" s="1" t="s">
        <v>172</v>
      </c>
      <c r="B134" s="1" t="s">
        <v>22</v>
      </c>
      <c r="C134" s="1" t="s">
        <v>33</v>
      </c>
      <c r="D134">
        <v>2</v>
      </c>
      <c r="E134">
        <v>2</v>
      </c>
      <c r="F134">
        <v>2226</v>
      </c>
      <c r="G134">
        <v>516867</v>
      </c>
      <c r="H134">
        <v>487175</v>
      </c>
      <c r="I134" s="2">
        <v>44948</v>
      </c>
      <c r="J134" s="2">
        <v>45027</v>
      </c>
      <c r="K134">
        <v>79</v>
      </c>
      <c r="L134" s="1" t="s">
        <v>39</v>
      </c>
      <c r="M134" s="1" t="s">
        <v>20</v>
      </c>
      <c r="N134">
        <v>0.04</v>
      </c>
      <c r="O134">
        <v>19487</v>
      </c>
    </row>
    <row r="135" spans="1:15" x14ac:dyDescent="0.3">
      <c r="A135" s="1" t="s">
        <v>173</v>
      </c>
      <c r="B135" s="1" t="s">
        <v>22</v>
      </c>
      <c r="C135" s="1" t="s">
        <v>38</v>
      </c>
      <c r="D135">
        <v>4</v>
      </c>
      <c r="E135">
        <v>2</v>
      </c>
      <c r="F135">
        <v>1681</v>
      </c>
      <c r="G135">
        <v>694457</v>
      </c>
      <c r="H135">
        <v>666660</v>
      </c>
      <c r="I135" s="2">
        <v>45352</v>
      </c>
      <c r="J135" s="2">
        <v>45403</v>
      </c>
      <c r="K135">
        <v>51</v>
      </c>
      <c r="L135" s="1" t="s">
        <v>44</v>
      </c>
      <c r="M135" s="1" t="s">
        <v>24</v>
      </c>
      <c r="N135">
        <v>4.4999999999999998E-2</v>
      </c>
      <c r="O135">
        <v>29999.7</v>
      </c>
    </row>
    <row r="136" spans="1:15" x14ac:dyDescent="0.3">
      <c r="A136" s="1" t="s">
        <v>174</v>
      </c>
      <c r="B136" s="1" t="s">
        <v>26</v>
      </c>
      <c r="C136" s="1" t="s">
        <v>23</v>
      </c>
      <c r="D136">
        <v>5</v>
      </c>
      <c r="E136">
        <v>1</v>
      </c>
      <c r="F136">
        <v>1528</v>
      </c>
      <c r="G136">
        <v>1748735</v>
      </c>
      <c r="H136">
        <v>1706951</v>
      </c>
      <c r="I136" s="2">
        <v>45575</v>
      </c>
      <c r="J136" s="2">
        <v>45660</v>
      </c>
      <c r="K136">
        <v>85</v>
      </c>
      <c r="L136" s="1" t="s">
        <v>27</v>
      </c>
      <c r="M136" s="1" t="s">
        <v>28</v>
      </c>
      <c r="N136">
        <v>4.4999999999999998E-2</v>
      </c>
      <c r="O136">
        <v>76812.789999999994</v>
      </c>
    </row>
    <row r="137" spans="1:15" x14ac:dyDescent="0.3">
      <c r="A137" s="1" t="s">
        <v>175</v>
      </c>
      <c r="B137" s="1" t="s">
        <v>32</v>
      </c>
      <c r="C137" s="1" t="s">
        <v>23</v>
      </c>
      <c r="D137">
        <v>5</v>
      </c>
      <c r="E137">
        <v>4</v>
      </c>
      <c r="F137">
        <v>818</v>
      </c>
      <c r="G137">
        <v>997279</v>
      </c>
      <c r="H137">
        <v>962053</v>
      </c>
      <c r="I137" s="2">
        <v>44968</v>
      </c>
      <c r="J137" s="2">
        <v>45021</v>
      </c>
      <c r="K137">
        <v>53</v>
      </c>
      <c r="L137" s="1" t="s">
        <v>42</v>
      </c>
      <c r="M137" s="1" t="s">
        <v>24</v>
      </c>
      <c r="N137">
        <v>4.4999999999999998E-2</v>
      </c>
      <c r="O137">
        <v>43292.38</v>
      </c>
    </row>
    <row r="138" spans="1:15" x14ac:dyDescent="0.3">
      <c r="A138" s="1" t="s">
        <v>176</v>
      </c>
      <c r="B138" s="1" t="s">
        <v>22</v>
      </c>
      <c r="C138" s="1" t="s">
        <v>33</v>
      </c>
      <c r="D138">
        <v>3</v>
      </c>
      <c r="E138">
        <v>1</v>
      </c>
      <c r="F138">
        <v>2721</v>
      </c>
      <c r="G138">
        <v>1798428</v>
      </c>
      <c r="H138">
        <v>1774284</v>
      </c>
      <c r="I138" s="2">
        <v>45040</v>
      </c>
      <c r="J138" s="2">
        <v>45066</v>
      </c>
      <c r="K138">
        <v>26</v>
      </c>
      <c r="L138" s="1" t="s">
        <v>19</v>
      </c>
      <c r="M138" s="1" t="s">
        <v>24</v>
      </c>
      <c r="N138">
        <v>0.04</v>
      </c>
      <c r="O138">
        <v>70971.360000000001</v>
      </c>
    </row>
    <row r="139" spans="1:15" x14ac:dyDescent="0.3">
      <c r="A139" s="1" t="s">
        <v>177</v>
      </c>
      <c r="B139" s="1" t="s">
        <v>32</v>
      </c>
      <c r="C139" s="1" t="s">
        <v>18</v>
      </c>
      <c r="D139">
        <v>3</v>
      </c>
      <c r="E139">
        <v>2</v>
      </c>
      <c r="F139">
        <v>3171</v>
      </c>
      <c r="G139">
        <v>1197673</v>
      </c>
      <c r="H139">
        <v>1160932</v>
      </c>
      <c r="I139" s="2">
        <v>45109</v>
      </c>
      <c r="J139" s="2">
        <v>45174</v>
      </c>
      <c r="K139">
        <v>65</v>
      </c>
      <c r="L139" s="1" t="s">
        <v>19</v>
      </c>
      <c r="M139" s="1" t="s">
        <v>20</v>
      </c>
      <c r="N139">
        <v>4.4999999999999998E-2</v>
      </c>
      <c r="O139">
        <v>52241.94</v>
      </c>
    </row>
    <row r="140" spans="1:15" x14ac:dyDescent="0.3">
      <c r="A140" s="1" t="s">
        <v>178</v>
      </c>
      <c r="B140" s="1" t="s">
        <v>59</v>
      </c>
      <c r="C140" s="1" t="s">
        <v>23</v>
      </c>
      <c r="D140">
        <v>4</v>
      </c>
      <c r="E140">
        <v>4</v>
      </c>
      <c r="F140">
        <v>829</v>
      </c>
      <c r="G140">
        <v>499742</v>
      </c>
      <c r="H140">
        <v>435990</v>
      </c>
      <c r="I140" s="2">
        <v>45615</v>
      </c>
      <c r="J140" s="2">
        <v>45704</v>
      </c>
      <c r="K140">
        <v>89</v>
      </c>
      <c r="L140" s="1" t="s">
        <v>51</v>
      </c>
      <c r="M140" s="1" t="s">
        <v>20</v>
      </c>
      <c r="N140">
        <v>0.05</v>
      </c>
      <c r="O140">
        <v>21799.5</v>
      </c>
    </row>
    <row r="141" spans="1:15" x14ac:dyDescent="0.3">
      <c r="A141" s="1" t="s">
        <v>179</v>
      </c>
      <c r="B141" s="1" t="s">
        <v>48</v>
      </c>
      <c r="C141" s="1" t="s">
        <v>38</v>
      </c>
      <c r="D141">
        <v>1</v>
      </c>
      <c r="E141">
        <v>1</v>
      </c>
      <c r="F141">
        <v>605</v>
      </c>
      <c r="G141">
        <v>1025082</v>
      </c>
      <c r="H141">
        <v>984334</v>
      </c>
      <c r="I141" s="2">
        <v>45381</v>
      </c>
      <c r="J141" s="2">
        <v>45458</v>
      </c>
      <c r="K141">
        <v>77</v>
      </c>
      <c r="L141" s="1" t="s">
        <v>19</v>
      </c>
      <c r="M141" s="1" t="s">
        <v>28</v>
      </c>
      <c r="N141">
        <v>0.05</v>
      </c>
      <c r="O141">
        <v>49216.7</v>
      </c>
    </row>
    <row r="142" spans="1:15" x14ac:dyDescent="0.3">
      <c r="A142" s="1" t="s">
        <v>180</v>
      </c>
      <c r="B142" s="1" t="s">
        <v>59</v>
      </c>
      <c r="C142" s="1" t="s">
        <v>23</v>
      </c>
      <c r="D142">
        <v>3</v>
      </c>
      <c r="E142">
        <v>2</v>
      </c>
      <c r="F142">
        <v>3264</v>
      </c>
      <c r="G142">
        <v>1551328</v>
      </c>
      <c r="H142">
        <v>1474036</v>
      </c>
      <c r="I142" s="2">
        <v>45346</v>
      </c>
      <c r="J142" s="2">
        <v>45400</v>
      </c>
      <c r="K142">
        <v>54</v>
      </c>
      <c r="L142" s="1" t="s">
        <v>53</v>
      </c>
      <c r="M142" s="1" t="s">
        <v>20</v>
      </c>
      <c r="N142">
        <v>4.4999999999999998E-2</v>
      </c>
      <c r="O142">
        <v>66331.62</v>
      </c>
    </row>
    <row r="143" spans="1:15" x14ac:dyDescent="0.3">
      <c r="A143" s="1" t="s">
        <v>181</v>
      </c>
      <c r="B143" s="1" t="s">
        <v>17</v>
      </c>
      <c r="C143" s="1" t="s">
        <v>18</v>
      </c>
      <c r="D143">
        <v>2</v>
      </c>
      <c r="E143">
        <v>4</v>
      </c>
      <c r="F143">
        <v>756</v>
      </c>
      <c r="G143">
        <v>638449</v>
      </c>
      <c r="H143">
        <v>609101</v>
      </c>
      <c r="I143" s="2">
        <v>45168</v>
      </c>
      <c r="J143" s="2">
        <v>45219</v>
      </c>
      <c r="K143">
        <v>51</v>
      </c>
      <c r="L143" s="1" t="s">
        <v>51</v>
      </c>
      <c r="M143" s="1" t="s">
        <v>24</v>
      </c>
      <c r="N143">
        <v>0.04</v>
      </c>
      <c r="O143">
        <v>24364.04</v>
      </c>
    </row>
    <row r="144" spans="1:15" x14ac:dyDescent="0.3">
      <c r="A144" s="1" t="s">
        <v>182</v>
      </c>
      <c r="B144" s="1" t="s">
        <v>41</v>
      </c>
      <c r="C144" s="1" t="s">
        <v>38</v>
      </c>
      <c r="D144">
        <v>4</v>
      </c>
      <c r="E144">
        <v>3</v>
      </c>
      <c r="F144">
        <v>1763</v>
      </c>
      <c r="G144">
        <v>446264</v>
      </c>
      <c r="H144">
        <v>437102</v>
      </c>
      <c r="I144" s="2">
        <v>45585</v>
      </c>
      <c r="J144" s="2">
        <v>45644</v>
      </c>
      <c r="K144">
        <v>59</v>
      </c>
      <c r="L144" s="1" t="s">
        <v>19</v>
      </c>
      <c r="M144" s="1" t="s">
        <v>24</v>
      </c>
      <c r="N144">
        <v>0.05</v>
      </c>
      <c r="O144">
        <v>21855.1</v>
      </c>
    </row>
    <row r="145" spans="1:15" x14ac:dyDescent="0.3">
      <c r="A145" s="1" t="s">
        <v>183</v>
      </c>
      <c r="B145" s="1" t="s">
        <v>17</v>
      </c>
      <c r="C145" s="1" t="s">
        <v>38</v>
      </c>
      <c r="D145">
        <v>5</v>
      </c>
      <c r="E145">
        <v>3</v>
      </c>
      <c r="F145">
        <v>1241</v>
      </c>
      <c r="G145">
        <v>901754</v>
      </c>
      <c r="H145">
        <v>853509</v>
      </c>
      <c r="I145" s="2">
        <v>45057</v>
      </c>
      <c r="J145" s="2">
        <v>45066</v>
      </c>
      <c r="K145">
        <v>9</v>
      </c>
      <c r="L145" s="1" t="s">
        <v>27</v>
      </c>
      <c r="M145" s="1" t="s">
        <v>20</v>
      </c>
      <c r="N145">
        <v>4.4999999999999998E-2</v>
      </c>
      <c r="O145">
        <v>38407.9</v>
      </c>
    </row>
    <row r="146" spans="1:15" x14ac:dyDescent="0.3">
      <c r="A146" s="1" t="s">
        <v>184</v>
      </c>
      <c r="B146" s="1" t="s">
        <v>48</v>
      </c>
      <c r="C146" s="1" t="s">
        <v>38</v>
      </c>
      <c r="D146">
        <v>1</v>
      </c>
      <c r="E146">
        <v>4</v>
      </c>
      <c r="F146">
        <v>1573</v>
      </c>
      <c r="G146">
        <v>1737361</v>
      </c>
      <c r="H146">
        <v>1676493</v>
      </c>
      <c r="I146" s="2">
        <v>45566</v>
      </c>
      <c r="J146" s="2">
        <v>45599</v>
      </c>
      <c r="K146">
        <v>33</v>
      </c>
      <c r="L146" s="1" t="s">
        <v>19</v>
      </c>
      <c r="M146" s="1" t="s">
        <v>24</v>
      </c>
      <c r="N146">
        <v>0.04</v>
      </c>
      <c r="O146">
        <v>67059.72</v>
      </c>
    </row>
    <row r="147" spans="1:15" x14ac:dyDescent="0.3">
      <c r="A147" s="1" t="s">
        <v>185</v>
      </c>
      <c r="B147" s="1" t="s">
        <v>48</v>
      </c>
      <c r="C147" s="1" t="s">
        <v>38</v>
      </c>
      <c r="D147">
        <v>2</v>
      </c>
      <c r="E147">
        <v>4</v>
      </c>
      <c r="F147">
        <v>2559</v>
      </c>
      <c r="G147">
        <v>576260</v>
      </c>
      <c r="H147">
        <v>523190</v>
      </c>
      <c r="I147" s="2">
        <v>44977</v>
      </c>
      <c r="J147" s="2">
        <v>45021</v>
      </c>
      <c r="K147">
        <v>44</v>
      </c>
      <c r="L147" s="1" t="s">
        <v>27</v>
      </c>
      <c r="M147" s="1" t="s">
        <v>20</v>
      </c>
      <c r="N147">
        <v>0.05</v>
      </c>
      <c r="O147">
        <v>26159.5</v>
      </c>
    </row>
    <row r="148" spans="1:15" x14ac:dyDescent="0.3">
      <c r="A148" s="1" t="s">
        <v>186</v>
      </c>
      <c r="B148" s="1" t="s">
        <v>41</v>
      </c>
      <c r="C148" s="1" t="s">
        <v>38</v>
      </c>
      <c r="D148">
        <v>3</v>
      </c>
      <c r="E148">
        <v>4</v>
      </c>
      <c r="F148">
        <v>1092</v>
      </c>
      <c r="G148">
        <v>1278800</v>
      </c>
      <c r="H148">
        <v>1250840</v>
      </c>
      <c r="I148" s="2">
        <v>45207</v>
      </c>
      <c r="J148" s="2">
        <v>45290</v>
      </c>
      <c r="K148">
        <v>83</v>
      </c>
      <c r="L148" s="1" t="s">
        <v>30</v>
      </c>
      <c r="M148" s="1" t="s">
        <v>20</v>
      </c>
      <c r="N148">
        <v>0.04</v>
      </c>
      <c r="O148">
        <v>50033.599999999999</v>
      </c>
    </row>
    <row r="149" spans="1:15" x14ac:dyDescent="0.3">
      <c r="A149" s="1" t="s">
        <v>187</v>
      </c>
      <c r="B149" s="1" t="s">
        <v>22</v>
      </c>
      <c r="C149" s="1" t="s">
        <v>35</v>
      </c>
      <c r="D149">
        <v>1</v>
      </c>
      <c r="E149">
        <v>3</v>
      </c>
      <c r="F149">
        <v>2730</v>
      </c>
      <c r="G149">
        <v>644644</v>
      </c>
      <c r="H149">
        <v>570611</v>
      </c>
      <c r="I149" s="2">
        <v>44995</v>
      </c>
      <c r="J149" s="2">
        <v>45028</v>
      </c>
      <c r="K149">
        <v>33</v>
      </c>
      <c r="L149" s="1" t="s">
        <v>42</v>
      </c>
      <c r="M149" s="1" t="s">
        <v>24</v>
      </c>
      <c r="N149">
        <v>0.05</v>
      </c>
      <c r="O149">
        <v>28530.55</v>
      </c>
    </row>
    <row r="150" spans="1:15" x14ac:dyDescent="0.3">
      <c r="A150" s="1" t="s">
        <v>188</v>
      </c>
      <c r="B150" s="1" t="s">
        <v>37</v>
      </c>
      <c r="C150" s="1" t="s">
        <v>35</v>
      </c>
      <c r="D150">
        <v>2</v>
      </c>
      <c r="E150">
        <v>4</v>
      </c>
      <c r="F150">
        <v>663</v>
      </c>
      <c r="G150">
        <v>1492832</v>
      </c>
      <c r="H150">
        <v>1471768</v>
      </c>
      <c r="I150" s="2">
        <v>45110</v>
      </c>
      <c r="J150" s="2">
        <v>45170</v>
      </c>
      <c r="K150">
        <v>60</v>
      </c>
      <c r="L150" s="1" t="s">
        <v>42</v>
      </c>
      <c r="M150" s="1" t="s">
        <v>20</v>
      </c>
      <c r="N150">
        <v>0.05</v>
      </c>
      <c r="O150">
        <v>73588.399999999994</v>
      </c>
    </row>
    <row r="151" spans="1:15" x14ac:dyDescent="0.3">
      <c r="A151" s="1" t="s">
        <v>189</v>
      </c>
      <c r="B151" s="1" t="s">
        <v>37</v>
      </c>
      <c r="C151" s="1" t="s">
        <v>18</v>
      </c>
      <c r="D151">
        <v>4</v>
      </c>
      <c r="E151">
        <v>1</v>
      </c>
      <c r="F151">
        <v>1203</v>
      </c>
      <c r="G151">
        <v>387538</v>
      </c>
      <c r="H151">
        <v>340329</v>
      </c>
      <c r="I151" s="2">
        <v>45249</v>
      </c>
      <c r="J151" s="2">
        <v>45279</v>
      </c>
      <c r="K151">
        <v>30</v>
      </c>
      <c r="L151" s="1" t="s">
        <v>19</v>
      </c>
      <c r="M151" s="1" t="s">
        <v>24</v>
      </c>
      <c r="N151">
        <v>0.04</v>
      </c>
      <c r="O151">
        <v>13613.16</v>
      </c>
    </row>
    <row r="152" spans="1:15" x14ac:dyDescent="0.3">
      <c r="A152" s="1" t="s">
        <v>190</v>
      </c>
      <c r="B152" s="1" t="s">
        <v>17</v>
      </c>
      <c r="C152" s="1" t="s">
        <v>38</v>
      </c>
      <c r="D152">
        <v>5</v>
      </c>
      <c r="E152">
        <v>1</v>
      </c>
      <c r="F152">
        <v>2933</v>
      </c>
      <c r="G152">
        <v>1107202</v>
      </c>
      <c r="H152">
        <v>1053756</v>
      </c>
      <c r="I152" s="2">
        <v>45410</v>
      </c>
      <c r="J152" s="2">
        <v>45471</v>
      </c>
      <c r="K152">
        <v>61</v>
      </c>
      <c r="L152" s="1" t="s">
        <v>27</v>
      </c>
      <c r="M152" s="1" t="s">
        <v>20</v>
      </c>
      <c r="N152">
        <v>4.4999999999999998E-2</v>
      </c>
      <c r="O152">
        <v>47419.02</v>
      </c>
    </row>
    <row r="153" spans="1:15" x14ac:dyDescent="0.3">
      <c r="A153" s="1" t="s">
        <v>191</v>
      </c>
      <c r="B153" s="1" t="s">
        <v>37</v>
      </c>
      <c r="C153" s="1" t="s">
        <v>35</v>
      </c>
      <c r="D153">
        <v>1</v>
      </c>
      <c r="E153">
        <v>3</v>
      </c>
      <c r="F153">
        <v>1915</v>
      </c>
      <c r="G153">
        <v>609308</v>
      </c>
      <c r="H153">
        <v>568151</v>
      </c>
      <c r="I153" s="2">
        <v>45387</v>
      </c>
      <c r="J153" s="2">
        <v>45399</v>
      </c>
      <c r="K153">
        <v>12</v>
      </c>
      <c r="L153" s="1" t="s">
        <v>44</v>
      </c>
      <c r="M153" s="1" t="s">
        <v>24</v>
      </c>
      <c r="N153">
        <v>0.05</v>
      </c>
      <c r="O153">
        <v>28407.55</v>
      </c>
    </row>
    <row r="154" spans="1:15" x14ac:dyDescent="0.3">
      <c r="A154" s="1" t="s">
        <v>192</v>
      </c>
      <c r="B154" s="1" t="s">
        <v>32</v>
      </c>
      <c r="C154" s="1" t="s">
        <v>33</v>
      </c>
      <c r="D154">
        <v>5</v>
      </c>
      <c r="E154">
        <v>3</v>
      </c>
      <c r="F154">
        <v>3471</v>
      </c>
      <c r="G154">
        <v>1480284</v>
      </c>
      <c r="H154">
        <v>1408540</v>
      </c>
      <c r="I154" s="2">
        <v>45082</v>
      </c>
      <c r="J154" s="2">
        <v>45162</v>
      </c>
      <c r="K154">
        <v>80</v>
      </c>
      <c r="L154" s="1" t="s">
        <v>27</v>
      </c>
      <c r="M154" s="1" t="s">
        <v>28</v>
      </c>
      <c r="N154">
        <v>0.04</v>
      </c>
      <c r="O154">
        <v>56341.599999999999</v>
      </c>
    </row>
    <row r="155" spans="1:15" x14ac:dyDescent="0.3">
      <c r="A155" s="1" t="s">
        <v>193</v>
      </c>
      <c r="B155" s="1" t="s">
        <v>26</v>
      </c>
      <c r="C155" s="1" t="s">
        <v>18</v>
      </c>
      <c r="D155">
        <v>2</v>
      </c>
      <c r="E155">
        <v>2</v>
      </c>
      <c r="F155">
        <v>3468</v>
      </c>
      <c r="G155">
        <v>834647</v>
      </c>
      <c r="H155">
        <v>771914</v>
      </c>
      <c r="I155" s="2">
        <v>45295</v>
      </c>
      <c r="J155" s="2">
        <v>45362</v>
      </c>
      <c r="K155">
        <v>67</v>
      </c>
      <c r="L155" s="1" t="s">
        <v>27</v>
      </c>
      <c r="M155" s="1" t="s">
        <v>20</v>
      </c>
      <c r="N155">
        <v>4.4999999999999998E-2</v>
      </c>
      <c r="O155">
        <v>34736.129999999997</v>
      </c>
    </row>
    <row r="156" spans="1:15" x14ac:dyDescent="0.3">
      <c r="A156" s="1" t="s">
        <v>194</v>
      </c>
      <c r="B156" s="1" t="s">
        <v>37</v>
      </c>
      <c r="C156" s="1" t="s">
        <v>33</v>
      </c>
      <c r="D156">
        <v>4</v>
      </c>
      <c r="E156">
        <v>4</v>
      </c>
      <c r="F156">
        <v>3471</v>
      </c>
      <c r="G156">
        <v>1425423</v>
      </c>
      <c r="H156">
        <v>1394904</v>
      </c>
      <c r="I156" s="2">
        <v>45483</v>
      </c>
      <c r="J156" s="2">
        <v>45511</v>
      </c>
      <c r="K156">
        <v>28</v>
      </c>
      <c r="L156" s="1" t="s">
        <v>30</v>
      </c>
      <c r="M156" s="1" t="s">
        <v>20</v>
      </c>
      <c r="N156">
        <v>4.4999999999999998E-2</v>
      </c>
      <c r="O156">
        <v>62770.68</v>
      </c>
    </row>
    <row r="157" spans="1:15" x14ac:dyDescent="0.3">
      <c r="A157" s="1" t="s">
        <v>195</v>
      </c>
      <c r="B157" s="1" t="s">
        <v>26</v>
      </c>
      <c r="C157" s="1" t="s">
        <v>38</v>
      </c>
      <c r="D157">
        <v>1</v>
      </c>
      <c r="E157">
        <v>1</v>
      </c>
      <c r="F157">
        <v>1135</v>
      </c>
      <c r="G157">
        <v>974927</v>
      </c>
      <c r="H157">
        <v>932588</v>
      </c>
      <c r="I157" s="2">
        <v>45251</v>
      </c>
      <c r="J157" s="2">
        <v>45335</v>
      </c>
      <c r="K157">
        <v>84</v>
      </c>
      <c r="L157" s="1" t="s">
        <v>42</v>
      </c>
      <c r="M157" s="1" t="s">
        <v>28</v>
      </c>
      <c r="N157">
        <v>0.05</v>
      </c>
      <c r="O157">
        <v>46629.4</v>
      </c>
    </row>
    <row r="158" spans="1:15" x14ac:dyDescent="0.3">
      <c r="A158" s="1" t="s">
        <v>196</v>
      </c>
      <c r="B158" s="1" t="s">
        <v>37</v>
      </c>
      <c r="C158" s="1" t="s">
        <v>18</v>
      </c>
      <c r="D158">
        <v>2</v>
      </c>
      <c r="E158">
        <v>4</v>
      </c>
      <c r="F158">
        <v>948</v>
      </c>
      <c r="G158">
        <v>985287</v>
      </c>
      <c r="H158">
        <v>912411</v>
      </c>
      <c r="I158" s="2">
        <v>45571</v>
      </c>
      <c r="J158" s="2">
        <v>45628</v>
      </c>
      <c r="K158">
        <v>57</v>
      </c>
      <c r="L158" s="1" t="s">
        <v>44</v>
      </c>
      <c r="M158" s="1" t="s">
        <v>20</v>
      </c>
      <c r="N158">
        <v>0.05</v>
      </c>
      <c r="O158">
        <v>45620.55</v>
      </c>
    </row>
    <row r="159" spans="1:15" x14ac:dyDescent="0.3">
      <c r="A159" s="1" t="s">
        <v>197</v>
      </c>
      <c r="B159" s="1" t="s">
        <v>59</v>
      </c>
      <c r="C159" s="1" t="s">
        <v>35</v>
      </c>
      <c r="D159">
        <v>3</v>
      </c>
      <c r="E159">
        <v>2</v>
      </c>
      <c r="F159">
        <v>1194</v>
      </c>
      <c r="G159">
        <v>498469</v>
      </c>
      <c r="H159">
        <v>463849</v>
      </c>
      <c r="I159" s="2">
        <v>45143</v>
      </c>
      <c r="J159" s="2">
        <v>45225</v>
      </c>
      <c r="K159">
        <v>82</v>
      </c>
      <c r="L159" s="1" t="s">
        <v>51</v>
      </c>
      <c r="M159" s="1" t="s">
        <v>20</v>
      </c>
      <c r="N159">
        <v>0.04</v>
      </c>
      <c r="O159">
        <v>18553.96</v>
      </c>
    </row>
    <row r="160" spans="1:15" x14ac:dyDescent="0.3">
      <c r="A160" s="1" t="s">
        <v>198</v>
      </c>
      <c r="B160" s="1" t="s">
        <v>32</v>
      </c>
      <c r="C160" s="1" t="s">
        <v>23</v>
      </c>
      <c r="D160">
        <v>5</v>
      </c>
      <c r="E160">
        <v>4</v>
      </c>
      <c r="F160">
        <v>1573</v>
      </c>
      <c r="G160">
        <v>811759</v>
      </c>
      <c r="H160">
        <v>733007</v>
      </c>
      <c r="I160" s="2">
        <v>45442</v>
      </c>
      <c r="J160" s="2">
        <v>45524</v>
      </c>
      <c r="K160">
        <v>82</v>
      </c>
      <c r="L160" s="1" t="s">
        <v>42</v>
      </c>
      <c r="M160" s="1" t="s">
        <v>24</v>
      </c>
      <c r="N160">
        <v>0.04</v>
      </c>
      <c r="O160">
        <v>29320.28</v>
      </c>
    </row>
    <row r="161" spans="1:15" x14ac:dyDescent="0.3">
      <c r="A161" s="1" t="s">
        <v>199</v>
      </c>
      <c r="B161" s="1" t="s">
        <v>32</v>
      </c>
      <c r="C161" s="1" t="s">
        <v>35</v>
      </c>
      <c r="D161">
        <v>4</v>
      </c>
      <c r="E161">
        <v>2</v>
      </c>
      <c r="F161">
        <v>3304</v>
      </c>
      <c r="G161">
        <v>924361</v>
      </c>
      <c r="H161">
        <v>918358</v>
      </c>
      <c r="I161" s="2">
        <v>45096</v>
      </c>
      <c r="J161" s="2">
        <v>45129</v>
      </c>
      <c r="K161">
        <v>33</v>
      </c>
      <c r="L161" s="1" t="s">
        <v>19</v>
      </c>
      <c r="M161" s="1" t="s">
        <v>20</v>
      </c>
      <c r="N161">
        <v>4.4999999999999998E-2</v>
      </c>
      <c r="O161">
        <v>41326.11</v>
      </c>
    </row>
    <row r="162" spans="1:15" x14ac:dyDescent="0.3">
      <c r="A162" s="1" t="s">
        <v>200</v>
      </c>
      <c r="B162" s="1" t="s">
        <v>41</v>
      </c>
      <c r="C162" s="1" t="s">
        <v>35</v>
      </c>
      <c r="D162">
        <v>5</v>
      </c>
      <c r="E162">
        <v>4</v>
      </c>
      <c r="F162">
        <v>3211</v>
      </c>
      <c r="G162">
        <v>1450858</v>
      </c>
      <c r="H162">
        <v>1418978</v>
      </c>
      <c r="I162" s="2">
        <v>45177</v>
      </c>
      <c r="J162" s="2">
        <v>45252</v>
      </c>
      <c r="K162">
        <v>75</v>
      </c>
      <c r="L162" s="1" t="s">
        <v>51</v>
      </c>
      <c r="M162" s="1" t="s">
        <v>24</v>
      </c>
      <c r="N162">
        <v>0.05</v>
      </c>
      <c r="O162">
        <v>70948.899999999994</v>
      </c>
    </row>
    <row r="163" spans="1:15" x14ac:dyDescent="0.3">
      <c r="A163" s="1" t="s">
        <v>201</v>
      </c>
      <c r="B163" s="1" t="s">
        <v>48</v>
      </c>
      <c r="C163" s="1" t="s">
        <v>38</v>
      </c>
      <c r="D163">
        <v>1</v>
      </c>
      <c r="E163">
        <v>1</v>
      </c>
      <c r="F163">
        <v>1556</v>
      </c>
      <c r="G163">
        <v>1302469</v>
      </c>
      <c r="H163">
        <v>1267831</v>
      </c>
      <c r="I163" s="2">
        <v>45472</v>
      </c>
      <c r="J163" s="2">
        <v>45481</v>
      </c>
      <c r="K163">
        <v>9</v>
      </c>
      <c r="L163" s="1" t="s">
        <v>39</v>
      </c>
      <c r="M163" s="1" t="s">
        <v>20</v>
      </c>
      <c r="N163">
        <v>0.05</v>
      </c>
      <c r="O163">
        <v>63391.55</v>
      </c>
    </row>
    <row r="164" spans="1:15" x14ac:dyDescent="0.3">
      <c r="A164" s="1" t="s">
        <v>202</v>
      </c>
      <c r="B164" s="1" t="s">
        <v>41</v>
      </c>
      <c r="C164" s="1" t="s">
        <v>35</v>
      </c>
      <c r="D164">
        <v>2</v>
      </c>
      <c r="E164">
        <v>4</v>
      </c>
      <c r="F164">
        <v>690</v>
      </c>
      <c r="G164">
        <v>1740421</v>
      </c>
      <c r="H164">
        <v>1687673</v>
      </c>
      <c r="I164" s="2">
        <v>45099</v>
      </c>
      <c r="J164" s="2">
        <v>45156</v>
      </c>
      <c r="K164">
        <v>57</v>
      </c>
      <c r="L164" s="1" t="s">
        <v>39</v>
      </c>
      <c r="M164" s="1" t="s">
        <v>24</v>
      </c>
      <c r="N164">
        <v>4.4999999999999998E-2</v>
      </c>
      <c r="O164">
        <v>75945.289999999994</v>
      </c>
    </row>
    <row r="165" spans="1:15" x14ac:dyDescent="0.3">
      <c r="A165" s="1" t="s">
        <v>203</v>
      </c>
      <c r="B165" s="1" t="s">
        <v>32</v>
      </c>
      <c r="C165" s="1" t="s">
        <v>35</v>
      </c>
      <c r="D165">
        <v>4</v>
      </c>
      <c r="E165">
        <v>4</v>
      </c>
      <c r="F165">
        <v>3459</v>
      </c>
      <c r="G165">
        <v>457225</v>
      </c>
      <c r="H165">
        <v>401904</v>
      </c>
      <c r="I165" s="2">
        <v>44949</v>
      </c>
      <c r="J165" s="2">
        <v>45007</v>
      </c>
      <c r="K165">
        <v>58</v>
      </c>
      <c r="L165" s="1" t="s">
        <v>53</v>
      </c>
      <c r="M165" s="1" t="s">
        <v>28</v>
      </c>
      <c r="N165">
        <v>0.05</v>
      </c>
      <c r="O165">
        <v>20095.2</v>
      </c>
    </row>
    <row r="166" spans="1:15" x14ac:dyDescent="0.3">
      <c r="A166" s="1" t="s">
        <v>204</v>
      </c>
      <c r="B166" s="1" t="s">
        <v>48</v>
      </c>
      <c r="C166" s="1" t="s">
        <v>38</v>
      </c>
      <c r="D166">
        <v>3</v>
      </c>
      <c r="E166">
        <v>4</v>
      </c>
      <c r="F166">
        <v>940</v>
      </c>
      <c r="G166">
        <v>1445191</v>
      </c>
      <c r="H166">
        <v>1417315</v>
      </c>
      <c r="I166" s="2">
        <v>45449</v>
      </c>
      <c r="J166" s="2">
        <v>45517</v>
      </c>
      <c r="K166">
        <v>68</v>
      </c>
      <c r="L166" s="1" t="s">
        <v>30</v>
      </c>
      <c r="M166" s="1" t="s">
        <v>24</v>
      </c>
      <c r="N166">
        <v>0.05</v>
      </c>
      <c r="O166">
        <v>70865.75</v>
      </c>
    </row>
    <row r="167" spans="1:15" x14ac:dyDescent="0.3">
      <c r="A167" s="1" t="s">
        <v>205</v>
      </c>
      <c r="B167" s="1" t="s">
        <v>17</v>
      </c>
      <c r="C167" s="1" t="s">
        <v>23</v>
      </c>
      <c r="D167">
        <v>2</v>
      </c>
      <c r="E167">
        <v>1</v>
      </c>
      <c r="F167">
        <v>733</v>
      </c>
      <c r="G167">
        <v>514165</v>
      </c>
      <c r="H167">
        <v>450760</v>
      </c>
      <c r="I167" s="2">
        <v>45479</v>
      </c>
      <c r="J167" s="2">
        <v>45517</v>
      </c>
      <c r="K167">
        <v>38</v>
      </c>
      <c r="L167" s="1" t="s">
        <v>42</v>
      </c>
      <c r="M167" s="1" t="s">
        <v>24</v>
      </c>
      <c r="N167">
        <v>4.4999999999999998E-2</v>
      </c>
      <c r="O167">
        <v>20284.2</v>
      </c>
    </row>
    <row r="168" spans="1:15" x14ac:dyDescent="0.3">
      <c r="A168" s="1" t="s">
        <v>206</v>
      </c>
      <c r="B168" s="1" t="s">
        <v>22</v>
      </c>
      <c r="C168" s="1" t="s">
        <v>38</v>
      </c>
      <c r="D168">
        <v>2</v>
      </c>
      <c r="E168">
        <v>3</v>
      </c>
      <c r="F168">
        <v>3468</v>
      </c>
      <c r="G168">
        <v>1562521</v>
      </c>
      <c r="H168">
        <v>1499188</v>
      </c>
      <c r="I168" s="2">
        <v>45388</v>
      </c>
      <c r="J168" s="2">
        <v>45478</v>
      </c>
      <c r="K168">
        <v>90</v>
      </c>
      <c r="L168" s="1" t="s">
        <v>44</v>
      </c>
      <c r="M168" s="1" t="s">
        <v>24</v>
      </c>
      <c r="N168">
        <v>4.4999999999999998E-2</v>
      </c>
      <c r="O168">
        <v>67463.460000000006</v>
      </c>
    </row>
    <row r="169" spans="1:15" x14ac:dyDescent="0.3">
      <c r="A169" s="1" t="s">
        <v>207</v>
      </c>
      <c r="B169" s="1" t="s">
        <v>26</v>
      </c>
      <c r="C169" s="1" t="s">
        <v>38</v>
      </c>
      <c r="D169">
        <v>2</v>
      </c>
      <c r="E169">
        <v>1</v>
      </c>
      <c r="F169">
        <v>3020</v>
      </c>
      <c r="G169">
        <v>1298693</v>
      </c>
      <c r="H169">
        <v>1234269</v>
      </c>
      <c r="I169" s="2">
        <v>45128</v>
      </c>
      <c r="J169" s="2">
        <v>45191</v>
      </c>
      <c r="K169">
        <v>63</v>
      </c>
      <c r="L169" s="1" t="s">
        <v>39</v>
      </c>
      <c r="M169" s="1" t="s">
        <v>24</v>
      </c>
      <c r="N169">
        <v>0.04</v>
      </c>
      <c r="O169">
        <v>49370.76</v>
      </c>
    </row>
    <row r="170" spans="1:15" x14ac:dyDescent="0.3">
      <c r="A170" s="1" t="s">
        <v>208</v>
      </c>
      <c r="B170" s="1" t="s">
        <v>17</v>
      </c>
      <c r="C170" s="1" t="s">
        <v>23</v>
      </c>
      <c r="D170">
        <v>1</v>
      </c>
      <c r="E170">
        <v>2</v>
      </c>
      <c r="F170">
        <v>1406</v>
      </c>
      <c r="G170">
        <v>881502</v>
      </c>
      <c r="H170">
        <v>880592</v>
      </c>
      <c r="I170" s="2">
        <v>45597</v>
      </c>
      <c r="J170" s="2">
        <v>45673</v>
      </c>
      <c r="K170">
        <v>76</v>
      </c>
      <c r="L170" s="1" t="s">
        <v>44</v>
      </c>
      <c r="M170" s="1" t="s">
        <v>28</v>
      </c>
      <c r="N170">
        <v>0.05</v>
      </c>
      <c r="O170">
        <v>44029.599999999999</v>
      </c>
    </row>
    <row r="171" spans="1:15" x14ac:dyDescent="0.3">
      <c r="A171" s="1" t="s">
        <v>209</v>
      </c>
      <c r="B171" s="1" t="s">
        <v>17</v>
      </c>
      <c r="C171" s="1" t="s">
        <v>18</v>
      </c>
      <c r="D171">
        <v>4</v>
      </c>
      <c r="E171">
        <v>4</v>
      </c>
      <c r="F171">
        <v>2962</v>
      </c>
      <c r="G171">
        <v>1377550</v>
      </c>
      <c r="H171">
        <v>1363274</v>
      </c>
      <c r="I171" s="2">
        <v>45404</v>
      </c>
      <c r="J171" s="2">
        <v>45491</v>
      </c>
      <c r="K171">
        <v>87</v>
      </c>
      <c r="L171" s="1" t="s">
        <v>27</v>
      </c>
      <c r="M171" s="1" t="s">
        <v>20</v>
      </c>
      <c r="N171">
        <v>0.04</v>
      </c>
      <c r="O171">
        <v>54530.96</v>
      </c>
    </row>
    <row r="172" spans="1:15" x14ac:dyDescent="0.3">
      <c r="A172" s="1" t="s">
        <v>210</v>
      </c>
      <c r="B172" s="1" t="s">
        <v>48</v>
      </c>
      <c r="C172" s="1" t="s">
        <v>33</v>
      </c>
      <c r="D172">
        <v>1</v>
      </c>
      <c r="E172">
        <v>1</v>
      </c>
      <c r="F172">
        <v>735</v>
      </c>
      <c r="G172">
        <v>815610</v>
      </c>
      <c r="H172">
        <v>806377</v>
      </c>
      <c r="I172" s="2">
        <v>44985</v>
      </c>
      <c r="J172" s="2">
        <v>45054</v>
      </c>
      <c r="K172">
        <v>69</v>
      </c>
      <c r="L172" s="1" t="s">
        <v>19</v>
      </c>
      <c r="M172" s="1" t="s">
        <v>24</v>
      </c>
      <c r="N172">
        <v>0.05</v>
      </c>
      <c r="O172">
        <v>40318.85</v>
      </c>
    </row>
    <row r="173" spans="1:15" x14ac:dyDescent="0.3">
      <c r="A173" s="1" t="s">
        <v>211</v>
      </c>
      <c r="B173" s="1" t="s">
        <v>17</v>
      </c>
      <c r="C173" s="1" t="s">
        <v>35</v>
      </c>
      <c r="D173">
        <v>5</v>
      </c>
      <c r="E173">
        <v>2</v>
      </c>
      <c r="F173">
        <v>1509</v>
      </c>
      <c r="G173">
        <v>1713384</v>
      </c>
      <c r="H173">
        <v>1662714</v>
      </c>
      <c r="I173" s="2">
        <v>45349</v>
      </c>
      <c r="J173" s="2">
        <v>45358</v>
      </c>
      <c r="K173">
        <v>9</v>
      </c>
      <c r="L173" s="1" t="s">
        <v>42</v>
      </c>
      <c r="M173" s="1" t="s">
        <v>28</v>
      </c>
      <c r="N173">
        <v>0.04</v>
      </c>
      <c r="O173">
        <v>66508.56</v>
      </c>
    </row>
    <row r="174" spans="1:15" x14ac:dyDescent="0.3">
      <c r="A174" s="1" t="s">
        <v>212</v>
      </c>
      <c r="B174" s="1" t="s">
        <v>41</v>
      </c>
      <c r="C174" s="1" t="s">
        <v>35</v>
      </c>
      <c r="D174">
        <v>3</v>
      </c>
      <c r="E174">
        <v>1</v>
      </c>
      <c r="F174">
        <v>2160</v>
      </c>
      <c r="G174">
        <v>583210</v>
      </c>
      <c r="H174">
        <v>551255</v>
      </c>
      <c r="I174" s="2">
        <v>45508</v>
      </c>
      <c r="J174" s="2">
        <v>45577</v>
      </c>
      <c r="K174">
        <v>69</v>
      </c>
      <c r="L174" s="1" t="s">
        <v>19</v>
      </c>
      <c r="M174" s="1" t="s">
        <v>20</v>
      </c>
      <c r="N174">
        <v>4.4999999999999998E-2</v>
      </c>
      <c r="O174">
        <v>24806.47</v>
      </c>
    </row>
    <row r="175" spans="1:15" x14ac:dyDescent="0.3">
      <c r="A175" s="1" t="s">
        <v>213</v>
      </c>
      <c r="B175" s="1" t="s">
        <v>48</v>
      </c>
      <c r="C175" s="1" t="s">
        <v>23</v>
      </c>
      <c r="D175">
        <v>1</v>
      </c>
      <c r="E175">
        <v>4</v>
      </c>
      <c r="F175">
        <v>1290</v>
      </c>
      <c r="G175">
        <v>698051</v>
      </c>
      <c r="H175">
        <v>630149</v>
      </c>
      <c r="I175" s="2">
        <v>45232</v>
      </c>
      <c r="J175" s="2">
        <v>45319</v>
      </c>
      <c r="K175">
        <v>87</v>
      </c>
      <c r="L175" s="1" t="s">
        <v>44</v>
      </c>
      <c r="M175" s="1" t="s">
        <v>20</v>
      </c>
      <c r="N175">
        <v>4.4999999999999998E-2</v>
      </c>
      <c r="O175">
        <v>28356.7</v>
      </c>
    </row>
    <row r="176" spans="1:15" x14ac:dyDescent="0.3">
      <c r="A176" s="1" t="s">
        <v>214</v>
      </c>
      <c r="B176" s="1" t="s">
        <v>37</v>
      </c>
      <c r="C176" s="1" t="s">
        <v>33</v>
      </c>
      <c r="D176">
        <v>1</v>
      </c>
      <c r="E176">
        <v>2</v>
      </c>
      <c r="F176">
        <v>1410</v>
      </c>
      <c r="G176">
        <v>1708295</v>
      </c>
      <c r="H176">
        <v>1653031</v>
      </c>
      <c r="I176" s="2">
        <v>45421</v>
      </c>
      <c r="J176" s="2">
        <v>45507</v>
      </c>
      <c r="K176">
        <v>86</v>
      </c>
      <c r="L176" s="1" t="s">
        <v>51</v>
      </c>
      <c r="M176" s="1" t="s">
        <v>24</v>
      </c>
      <c r="N176">
        <v>0.04</v>
      </c>
      <c r="O176">
        <v>66121.240000000005</v>
      </c>
    </row>
    <row r="177" spans="1:15" x14ac:dyDescent="0.3">
      <c r="A177" s="1" t="s">
        <v>215</v>
      </c>
      <c r="B177" s="1" t="s">
        <v>59</v>
      </c>
      <c r="C177" s="1" t="s">
        <v>35</v>
      </c>
      <c r="D177">
        <v>3</v>
      </c>
      <c r="E177">
        <v>2</v>
      </c>
      <c r="F177">
        <v>3096</v>
      </c>
      <c r="G177">
        <v>643558</v>
      </c>
      <c r="H177">
        <v>570615</v>
      </c>
      <c r="I177" s="2">
        <v>45365</v>
      </c>
      <c r="J177" s="2">
        <v>45375</v>
      </c>
      <c r="K177">
        <v>10</v>
      </c>
      <c r="L177" s="1" t="s">
        <v>39</v>
      </c>
      <c r="M177" s="1" t="s">
        <v>28</v>
      </c>
      <c r="N177">
        <v>4.4999999999999998E-2</v>
      </c>
      <c r="O177">
        <v>25677.67</v>
      </c>
    </row>
    <row r="178" spans="1:15" x14ac:dyDescent="0.3">
      <c r="A178" s="1" t="s">
        <v>216</v>
      </c>
      <c r="B178" s="1" t="s">
        <v>22</v>
      </c>
      <c r="C178" s="1" t="s">
        <v>18</v>
      </c>
      <c r="D178">
        <v>5</v>
      </c>
      <c r="E178">
        <v>1</v>
      </c>
      <c r="F178">
        <v>2923</v>
      </c>
      <c r="G178">
        <v>729998</v>
      </c>
      <c r="H178">
        <v>654822</v>
      </c>
      <c r="I178" s="2">
        <v>45246</v>
      </c>
      <c r="J178" s="2">
        <v>45322</v>
      </c>
      <c r="K178">
        <v>76</v>
      </c>
      <c r="L178" s="1" t="s">
        <v>51</v>
      </c>
      <c r="M178" s="1" t="s">
        <v>28</v>
      </c>
      <c r="N178">
        <v>0.05</v>
      </c>
      <c r="O178">
        <v>32741.1</v>
      </c>
    </row>
    <row r="179" spans="1:15" x14ac:dyDescent="0.3">
      <c r="A179" s="1" t="s">
        <v>217</v>
      </c>
      <c r="B179" s="1" t="s">
        <v>37</v>
      </c>
      <c r="C179" s="1" t="s">
        <v>38</v>
      </c>
      <c r="D179">
        <v>2</v>
      </c>
      <c r="E179">
        <v>1</v>
      </c>
      <c r="F179">
        <v>3107</v>
      </c>
      <c r="G179">
        <v>648436</v>
      </c>
      <c r="H179">
        <v>628078</v>
      </c>
      <c r="I179" s="2">
        <v>44938</v>
      </c>
      <c r="J179" s="2">
        <v>44949</v>
      </c>
      <c r="K179">
        <v>11</v>
      </c>
      <c r="L179" s="1" t="s">
        <v>27</v>
      </c>
      <c r="M179" s="1" t="s">
        <v>24</v>
      </c>
      <c r="N179">
        <v>0.05</v>
      </c>
      <c r="O179">
        <v>31403.9</v>
      </c>
    </row>
    <row r="180" spans="1:15" x14ac:dyDescent="0.3">
      <c r="A180" s="1" t="s">
        <v>218</v>
      </c>
      <c r="B180" s="1" t="s">
        <v>32</v>
      </c>
      <c r="C180" s="1" t="s">
        <v>33</v>
      </c>
      <c r="D180">
        <v>1</v>
      </c>
      <c r="E180">
        <v>2</v>
      </c>
      <c r="F180">
        <v>1315</v>
      </c>
      <c r="G180">
        <v>1546471</v>
      </c>
      <c r="H180">
        <v>1537203</v>
      </c>
      <c r="I180" s="2">
        <v>45327</v>
      </c>
      <c r="J180" s="2">
        <v>45361</v>
      </c>
      <c r="K180">
        <v>34</v>
      </c>
      <c r="L180" s="1" t="s">
        <v>44</v>
      </c>
      <c r="M180" s="1" t="s">
        <v>28</v>
      </c>
      <c r="N180">
        <v>4.4999999999999998E-2</v>
      </c>
      <c r="O180">
        <v>69174.13</v>
      </c>
    </row>
    <row r="181" spans="1:15" x14ac:dyDescent="0.3">
      <c r="A181" s="1" t="s">
        <v>219</v>
      </c>
      <c r="B181" s="1" t="s">
        <v>26</v>
      </c>
      <c r="C181" s="1" t="s">
        <v>23</v>
      </c>
      <c r="D181">
        <v>2</v>
      </c>
      <c r="E181">
        <v>4</v>
      </c>
      <c r="F181">
        <v>1942</v>
      </c>
      <c r="G181">
        <v>1686049</v>
      </c>
      <c r="H181">
        <v>1613947</v>
      </c>
      <c r="I181" s="2">
        <v>45602</v>
      </c>
      <c r="J181" s="2">
        <v>45650</v>
      </c>
      <c r="K181">
        <v>48</v>
      </c>
      <c r="L181" s="1" t="s">
        <v>42</v>
      </c>
      <c r="M181" s="1" t="s">
        <v>20</v>
      </c>
      <c r="N181">
        <v>0.04</v>
      </c>
      <c r="O181">
        <v>64557.88</v>
      </c>
    </row>
    <row r="182" spans="1:15" x14ac:dyDescent="0.3">
      <c r="A182" s="1" t="s">
        <v>220</v>
      </c>
      <c r="B182" s="1" t="s">
        <v>41</v>
      </c>
      <c r="C182" s="1" t="s">
        <v>33</v>
      </c>
      <c r="D182">
        <v>4</v>
      </c>
      <c r="E182">
        <v>2</v>
      </c>
      <c r="F182">
        <v>2972</v>
      </c>
      <c r="G182">
        <v>1560466</v>
      </c>
      <c r="H182">
        <v>1505383</v>
      </c>
      <c r="I182" s="2">
        <v>45568</v>
      </c>
      <c r="J182" s="2">
        <v>45611</v>
      </c>
      <c r="K182">
        <v>43</v>
      </c>
      <c r="L182" s="1" t="s">
        <v>39</v>
      </c>
      <c r="M182" s="1" t="s">
        <v>28</v>
      </c>
      <c r="N182">
        <v>4.4999999999999998E-2</v>
      </c>
      <c r="O182">
        <v>67742.240000000005</v>
      </c>
    </row>
    <row r="183" spans="1:15" x14ac:dyDescent="0.3">
      <c r="A183" s="1" t="s">
        <v>221</v>
      </c>
      <c r="B183" s="1" t="s">
        <v>41</v>
      </c>
      <c r="C183" s="1" t="s">
        <v>18</v>
      </c>
      <c r="D183">
        <v>2</v>
      </c>
      <c r="E183">
        <v>3</v>
      </c>
      <c r="F183">
        <v>1350</v>
      </c>
      <c r="G183">
        <v>770181</v>
      </c>
      <c r="H183">
        <v>738771</v>
      </c>
      <c r="I183" s="2">
        <v>45333</v>
      </c>
      <c r="J183" s="2">
        <v>45421</v>
      </c>
      <c r="K183">
        <v>88</v>
      </c>
      <c r="L183" s="1" t="s">
        <v>30</v>
      </c>
      <c r="M183" s="1" t="s">
        <v>28</v>
      </c>
      <c r="N183">
        <v>4.4999999999999998E-2</v>
      </c>
      <c r="O183">
        <v>33244.69</v>
      </c>
    </row>
    <row r="184" spans="1:15" x14ac:dyDescent="0.3">
      <c r="A184" s="1" t="s">
        <v>222</v>
      </c>
      <c r="B184" s="1" t="s">
        <v>59</v>
      </c>
      <c r="C184" s="1" t="s">
        <v>33</v>
      </c>
      <c r="D184">
        <v>3</v>
      </c>
      <c r="E184">
        <v>4</v>
      </c>
      <c r="F184">
        <v>1516</v>
      </c>
      <c r="G184">
        <v>1009294</v>
      </c>
      <c r="H184">
        <v>979472</v>
      </c>
      <c r="I184" s="2">
        <v>45067</v>
      </c>
      <c r="J184" s="2">
        <v>45098</v>
      </c>
      <c r="K184">
        <v>31</v>
      </c>
      <c r="L184" s="1" t="s">
        <v>53</v>
      </c>
      <c r="M184" s="1" t="s">
        <v>24</v>
      </c>
      <c r="N184">
        <v>0.04</v>
      </c>
      <c r="O184">
        <v>39178.879999999997</v>
      </c>
    </row>
    <row r="185" spans="1:15" x14ac:dyDescent="0.3">
      <c r="A185" s="1" t="s">
        <v>223</v>
      </c>
      <c r="B185" s="1" t="s">
        <v>48</v>
      </c>
      <c r="C185" s="1" t="s">
        <v>38</v>
      </c>
      <c r="D185">
        <v>4</v>
      </c>
      <c r="E185">
        <v>3</v>
      </c>
      <c r="F185">
        <v>933</v>
      </c>
      <c r="G185">
        <v>1795533</v>
      </c>
      <c r="H185">
        <v>1746790</v>
      </c>
      <c r="I185" s="2">
        <v>45391</v>
      </c>
      <c r="J185" s="2">
        <v>45442</v>
      </c>
      <c r="K185">
        <v>51</v>
      </c>
      <c r="L185" s="1" t="s">
        <v>44</v>
      </c>
      <c r="M185" s="1" t="s">
        <v>20</v>
      </c>
      <c r="N185">
        <v>0.04</v>
      </c>
      <c r="O185">
        <v>69871.600000000006</v>
      </c>
    </row>
    <row r="186" spans="1:15" x14ac:dyDescent="0.3">
      <c r="A186" s="1" t="s">
        <v>224</v>
      </c>
      <c r="B186" s="1" t="s">
        <v>32</v>
      </c>
      <c r="C186" s="1" t="s">
        <v>38</v>
      </c>
      <c r="D186">
        <v>5</v>
      </c>
      <c r="E186">
        <v>1</v>
      </c>
      <c r="F186">
        <v>1758</v>
      </c>
      <c r="G186">
        <v>873136</v>
      </c>
      <c r="H186">
        <v>868941</v>
      </c>
      <c r="I186" s="2">
        <v>45280</v>
      </c>
      <c r="J186" s="2">
        <v>45322</v>
      </c>
      <c r="K186">
        <v>42</v>
      </c>
      <c r="L186" s="1" t="s">
        <v>51</v>
      </c>
      <c r="M186" s="1" t="s">
        <v>28</v>
      </c>
      <c r="N186">
        <v>0.04</v>
      </c>
      <c r="O186">
        <v>34757.64</v>
      </c>
    </row>
    <row r="187" spans="1:15" x14ac:dyDescent="0.3">
      <c r="A187" s="1" t="s">
        <v>225</v>
      </c>
      <c r="B187" s="1" t="s">
        <v>26</v>
      </c>
      <c r="C187" s="1" t="s">
        <v>18</v>
      </c>
      <c r="D187">
        <v>3</v>
      </c>
      <c r="E187">
        <v>2</v>
      </c>
      <c r="F187">
        <v>3207</v>
      </c>
      <c r="G187">
        <v>1059866</v>
      </c>
      <c r="H187">
        <v>1036669</v>
      </c>
      <c r="I187" s="2">
        <v>45187</v>
      </c>
      <c r="J187" s="2">
        <v>45224</v>
      </c>
      <c r="K187">
        <v>37</v>
      </c>
      <c r="L187" s="1" t="s">
        <v>42</v>
      </c>
      <c r="M187" s="1" t="s">
        <v>20</v>
      </c>
      <c r="N187">
        <v>4.4999999999999998E-2</v>
      </c>
      <c r="O187">
        <v>46650.1</v>
      </c>
    </row>
    <row r="188" spans="1:15" x14ac:dyDescent="0.3">
      <c r="A188" s="1" t="s">
        <v>226</v>
      </c>
      <c r="B188" s="1" t="s">
        <v>48</v>
      </c>
      <c r="C188" s="1" t="s">
        <v>23</v>
      </c>
      <c r="D188">
        <v>3</v>
      </c>
      <c r="E188">
        <v>3</v>
      </c>
      <c r="F188">
        <v>2185</v>
      </c>
      <c r="G188">
        <v>1225403</v>
      </c>
      <c r="H188">
        <v>1153025</v>
      </c>
      <c r="I188" s="2">
        <v>45294</v>
      </c>
      <c r="J188" s="2">
        <v>45330</v>
      </c>
      <c r="K188">
        <v>36</v>
      </c>
      <c r="L188" s="1" t="s">
        <v>51</v>
      </c>
      <c r="M188" s="1" t="s">
        <v>28</v>
      </c>
      <c r="N188">
        <v>4.4999999999999998E-2</v>
      </c>
      <c r="O188">
        <v>51886.12</v>
      </c>
    </row>
    <row r="189" spans="1:15" x14ac:dyDescent="0.3">
      <c r="A189" s="1" t="s">
        <v>227</v>
      </c>
      <c r="B189" s="1" t="s">
        <v>37</v>
      </c>
      <c r="C189" s="1" t="s">
        <v>33</v>
      </c>
      <c r="D189">
        <v>1</v>
      </c>
      <c r="E189">
        <v>1</v>
      </c>
      <c r="F189">
        <v>1501</v>
      </c>
      <c r="G189">
        <v>994597</v>
      </c>
      <c r="H189">
        <v>962031</v>
      </c>
      <c r="I189" s="2">
        <v>45602</v>
      </c>
      <c r="J189" s="2">
        <v>45632</v>
      </c>
      <c r="K189">
        <v>30</v>
      </c>
      <c r="L189" s="1" t="s">
        <v>27</v>
      </c>
      <c r="M189" s="1" t="s">
        <v>20</v>
      </c>
      <c r="N189">
        <v>0.04</v>
      </c>
      <c r="O189">
        <v>38481.24</v>
      </c>
    </row>
    <row r="190" spans="1:15" x14ac:dyDescent="0.3">
      <c r="A190" s="1" t="s">
        <v>228</v>
      </c>
      <c r="B190" s="1" t="s">
        <v>26</v>
      </c>
      <c r="C190" s="1" t="s">
        <v>35</v>
      </c>
      <c r="D190">
        <v>3</v>
      </c>
      <c r="E190">
        <v>4</v>
      </c>
      <c r="F190">
        <v>2190</v>
      </c>
      <c r="G190">
        <v>1081761</v>
      </c>
      <c r="H190">
        <v>1018216</v>
      </c>
      <c r="I190" s="2">
        <v>45208</v>
      </c>
      <c r="J190" s="2">
        <v>45222</v>
      </c>
      <c r="K190">
        <v>14</v>
      </c>
      <c r="L190" s="1" t="s">
        <v>27</v>
      </c>
      <c r="M190" s="1" t="s">
        <v>28</v>
      </c>
      <c r="N190">
        <v>4.4999999999999998E-2</v>
      </c>
      <c r="O190">
        <v>45819.72</v>
      </c>
    </row>
    <row r="191" spans="1:15" x14ac:dyDescent="0.3">
      <c r="A191" s="1" t="s">
        <v>229</v>
      </c>
      <c r="B191" s="1" t="s">
        <v>26</v>
      </c>
      <c r="C191" s="1" t="s">
        <v>18</v>
      </c>
      <c r="D191">
        <v>5</v>
      </c>
      <c r="E191">
        <v>4</v>
      </c>
      <c r="F191">
        <v>3295</v>
      </c>
      <c r="G191">
        <v>1532289</v>
      </c>
      <c r="H191">
        <v>1467249</v>
      </c>
      <c r="I191" s="2">
        <v>45232</v>
      </c>
      <c r="J191" s="2">
        <v>45312</v>
      </c>
      <c r="K191">
        <v>80</v>
      </c>
      <c r="L191" s="1" t="s">
        <v>44</v>
      </c>
      <c r="M191" s="1" t="s">
        <v>28</v>
      </c>
      <c r="N191">
        <v>4.4999999999999998E-2</v>
      </c>
      <c r="O191">
        <v>66026.210000000006</v>
      </c>
    </row>
    <row r="192" spans="1:15" x14ac:dyDescent="0.3">
      <c r="A192" s="1" t="s">
        <v>230</v>
      </c>
      <c r="B192" s="1" t="s">
        <v>37</v>
      </c>
      <c r="C192" s="1" t="s">
        <v>33</v>
      </c>
      <c r="D192">
        <v>4</v>
      </c>
      <c r="E192">
        <v>1</v>
      </c>
      <c r="F192">
        <v>2855</v>
      </c>
      <c r="G192">
        <v>880443</v>
      </c>
      <c r="H192">
        <v>869370</v>
      </c>
      <c r="I192" s="2">
        <v>44968</v>
      </c>
      <c r="J192" s="2">
        <v>44993</v>
      </c>
      <c r="K192">
        <v>25</v>
      </c>
      <c r="L192" s="1" t="s">
        <v>39</v>
      </c>
      <c r="M192" s="1" t="s">
        <v>24</v>
      </c>
      <c r="N192">
        <v>4.4999999999999998E-2</v>
      </c>
      <c r="O192">
        <v>39121.65</v>
      </c>
    </row>
    <row r="193" spans="1:15" x14ac:dyDescent="0.3">
      <c r="A193" s="1" t="s">
        <v>231</v>
      </c>
      <c r="B193" s="1" t="s">
        <v>32</v>
      </c>
      <c r="C193" s="1" t="s">
        <v>33</v>
      </c>
      <c r="D193">
        <v>5</v>
      </c>
      <c r="E193">
        <v>3</v>
      </c>
      <c r="F193">
        <v>3093</v>
      </c>
      <c r="G193">
        <v>1206462</v>
      </c>
      <c r="H193">
        <v>1129168</v>
      </c>
      <c r="I193" s="2">
        <v>45033</v>
      </c>
      <c r="J193" s="2">
        <v>45059</v>
      </c>
      <c r="K193">
        <v>26</v>
      </c>
      <c r="L193" s="1" t="s">
        <v>44</v>
      </c>
      <c r="M193" s="1" t="s">
        <v>28</v>
      </c>
      <c r="N193">
        <v>0.05</v>
      </c>
      <c r="O193">
        <v>56458.400000000001</v>
      </c>
    </row>
    <row r="194" spans="1:15" x14ac:dyDescent="0.3">
      <c r="A194" s="1" t="s">
        <v>232</v>
      </c>
      <c r="B194" s="1" t="s">
        <v>22</v>
      </c>
      <c r="C194" s="1" t="s">
        <v>33</v>
      </c>
      <c r="D194">
        <v>3</v>
      </c>
      <c r="E194">
        <v>4</v>
      </c>
      <c r="F194">
        <v>1516</v>
      </c>
      <c r="G194">
        <v>904669</v>
      </c>
      <c r="H194">
        <v>861762</v>
      </c>
      <c r="I194" s="2">
        <v>45137</v>
      </c>
      <c r="J194" s="2">
        <v>45194</v>
      </c>
      <c r="K194">
        <v>57</v>
      </c>
      <c r="L194" s="1" t="s">
        <v>30</v>
      </c>
      <c r="M194" s="1" t="s">
        <v>20</v>
      </c>
      <c r="N194">
        <v>0.04</v>
      </c>
      <c r="O194">
        <v>34470.480000000003</v>
      </c>
    </row>
    <row r="195" spans="1:15" x14ac:dyDescent="0.3">
      <c r="A195" s="1" t="s">
        <v>233</v>
      </c>
      <c r="B195" s="1" t="s">
        <v>48</v>
      </c>
      <c r="C195" s="1" t="s">
        <v>33</v>
      </c>
      <c r="D195">
        <v>3</v>
      </c>
      <c r="E195">
        <v>4</v>
      </c>
      <c r="F195">
        <v>1099</v>
      </c>
      <c r="G195">
        <v>1045169</v>
      </c>
      <c r="H195">
        <v>1011526</v>
      </c>
      <c r="I195" s="2">
        <v>45476</v>
      </c>
      <c r="J195" s="2">
        <v>45525</v>
      </c>
      <c r="K195">
        <v>49</v>
      </c>
      <c r="L195" s="1" t="s">
        <v>39</v>
      </c>
      <c r="M195" s="1" t="s">
        <v>28</v>
      </c>
      <c r="N195">
        <v>4.4999999999999998E-2</v>
      </c>
      <c r="O195">
        <v>45518.67</v>
      </c>
    </row>
    <row r="196" spans="1:15" x14ac:dyDescent="0.3">
      <c r="A196" s="1" t="s">
        <v>234</v>
      </c>
      <c r="B196" s="1" t="s">
        <v>26</v>
      </c>
      <c r="C196" s="1" t="s">
        <v>35</v>
      </c>
      <c r="D196">
        <v>5</v>
      </c>
      <c r="E196">
        <v>3</v>
      </c>
      <c r="F196">
        <v>2163</v>
      </c>
      <c r="G196">
        <v>661934</v>
      </c>
      <c r="H196">
        <v>590010</v>
      </c>
      <c r="I196" s="2">
        <v>45299</v>
      </c>
      <c r="J196" s="2">
        <v>45331</v>
      </c>
      <c r="K196">
        <v>32</v>
      </c>
      <c r="L196" s="1" t="s">
        <v>19</v>
      </c>
      <c r="M196" s="1" t="s">
        <v>24</v>
      </c>
      <c r="N196">
        <v>0.04</v>
      </c>
      <c r="O196">
        <v>23600.400000000001</v>
      </c>
    </row>
    <row r="197" spans="1:15" x14ac:dyDescent="0.3">
      <c r="A197" s="1" t="s">
        <v>235</v>
      </c>
      <c r="B197" s="1" t="s">
        <v>41</v>
      </c>
      <c r="C197" s="1" t="s">
        <v>33</v>
      </c>
      <c r="D197">
        <v>5</v>
      </c>
      <c r="E197">
        <v>4</v>
      </c>
      <c r="F197">
        <v>3074</v>
      </c>
      <c r="G197">
        <v>1612832</v>
      </c>
      <c r="H197">
        <v>1606363</v>
      </c>
      <c r="I197" s="2">
        <v>44954</v>
      </c>
      <c r="J197" s="2">
        <v>45018</v>
      </c>
      <c r="K197">
        <v>64</v>
      </c>
      <c r="L197" s="1" t="s">
        <v>30</v>
      </c>
      <c r="M197" s="1" t="s">
        <v>20</v>
      </c>
      <c r="N197">
        <v>4.4999999999999998E-2</v>
      </c>
      <c r="O197">
        <v>72286.33</v>
      </c>
    </row>
    <row r="198" spans="1:15" x14ac:dyDescent="0.3">
      <c r="A198" s="1" t="s">
        <v>236</v>
      </c>
      <c r="B198" s="1" t="s">
        <v>37</v>
      </c>
      <c r="C198" s="1" t="s">
        <v>38</v>
      </c>
      <c r="D198">
        <v>2</v>
      </c>
      <c r="E198">
        <v>4</v>
      </c>
      <c r="F198">
        <v>2816</v>
      </c>
      <c r="G198">
        <v>1117054</v>
      </c>
      <c r="H198">
        <v>1095017</v>
      </c>
      <c r="I198" s="2">
        <v>45049</v>
      </c>
      <c r="J198" s="2">
        <v>45083</v>
      </c>
      <c r="K198">
        <v>34</v>
      </c>
      <c r="L198" s="1" t="s">
        <v>19</v>
      </c>
      <c r="M198" s="1" t="s">
        <v>28</v>
      </c>
      <c r="N198">
        <v>0.05</v>
      </c>
      <c r="O198">
        <v>54750.85</v>
      </c>
    </row>
    <row r="199" spans="1:15" x14ac:dyDescent="0.3">
      <c r="A199" s="1" t="s">
        <v>237</v>
      </c>
      <c r="B199" s="1" t="s">
        <v>22</v>
      </c>
      <c r="C199" s="1" t="s">
        <v>35</v>
      </c>
      <c r="D199">
        <v>3</v>
      </c>
      <c r="E199">
        <v>4</v>
      </c>
      <c r="F199">
        <v>1840</v>
      </c>
      <c r="G199">
        <v>1751533</v>
      </c>
      <c r="H199">
        <v>1738316</v>
      </c>
      <c r="I199" s="2">
        <v>45455</v>
      </c>
      <c r="J199" s="2">
        <v>45522</v>
      </c>
      <c r="K199">
        <v>67</v>
      </c>
      <c r="L199" s="1" t="s">
        <v>42</v>
      </c>
      <c r="M199" s="1" t="s">
        <v>24</v>
      </c>
      <c r="N199">
        <v>0.05</v>
      </c>
      <c r="O199">
        <v>86915.8</v>
      </c>
    </row>
    <row r="200" spans="1:15" x14ac:dyDescent="0.3">
      <c r="A200" s="1" t="s">
        <v>238</v>
      </c>
      <c r="B200" s="1" t="s">
        <v>32</v>
      </c>
      <c r="C200" s="1" t="s">
        <v>18</v>
      </c>
      <c r="D200">
        <v>4</v>
      </c>
      <c r="E200">
        <v>2</v>
      </c>
      <c r="F200">
        <v>3334</v>
      </c>
      <c r="G200">
        <v>1792792</v>
      </c>
      <c r="H200">
        <v>1714531</v>
      </c>
      <c r="I200" s="2">
        <v>45618</v>
      </c>
      <c r="J200" s="2">
        <v>45687</v>
      </c>
      <c r="K200">
        <v>69</v>
      </c>
      <c r="L200" s="1" t="s">
        <v>53</v>
      </c>
      <c r="M200" s="1" t="s">
        <v>20</v>
      </c>
      <c r="N200">
        <v>4.4999999999999998E-2</v>
      </c>
      <c r="O200">
        <v>77153.899999999994</v>
      </c>
    </row>
    <row r="201" spans="1:15" x14ac:dyDescent="0.3">
      <c r="A201" s="1" t="s">
        <v>239</v>
      </c>
      <c r="B201" s="1" t="s">
        <v>41</v>
      </c>
      <c r="C201" s="1" t="s">
        <v>33</v>
      </c>
      <c r="D201">
        <v>1</v>
      </c>
      <c r="E201">
        <v>3</v>
      </c>
      <c r="F201">
        <v>1188</v>
      </c>
      <c r="G201">
        <v>1207362</v>
      </c>
      <c r="H201">
        <v>1143060</v>
      </c>
      <c r="I201" s="2">
        <v>44928</v>
      </c>
      <c r="J201" s="2">
        <v>44948</v>
      </c>
      <c r="K201">
        <v>20</v>
      </c>
      <c r="L201" s="1" t="s">
        <v>53</v>
      </c>
      <c r="M201" s="1" t="s">
        <v>28</v>
      </c>
      <c r="N201">
        <v>4.4999999999999998E-2</v>
      </c>
      <c r="O201">
        <v>51437.7</v>
      </c>
    </row>
    <row r="202" spans="1:15" x14ac:dyDescent="0.3">
      <c r="A202" s="1" t="s">
        <v>240</v>
      </c>
      <c r="B202" s="1" t="s">
        <v>32</v>
      </c>
      <c r="C202" s="1" t="s">
        <v>38</v>
      </c>
      <c r="D202">
        <v>1</v>
      </c>
      <c r="E202">
        <v>2</v>
      </c>
      <c r="F202">
        <v>1032</v>
      </c>
      <c r="G202">
        <v>1076891</v>
      </c>
      <c r="H202">
        <v>1042227</v>
      </c>
      <c r="I202" s="2">
        <v>45249</v>
      </c>
      <c r="J202" s="2">
        <v>45335</v>
      </c>
      <c r="K202">
        <v>86</v>
      </c>
      <c r="L202" s="1" t="s">
        <v>42</v>
      </c>
      <c r="M202" s="1" t="s">
        <v>28</v>
      </c>
      <c r="N202">
        <v>4.4999999999999998E-2</v>
      </c>
      <c r="O202">
        <v>46900.21</v>
      </c>
    </row>
    <row r="203" spans="1:15" x14ac:dyDescent="0.3">
      <c r="A203" s="1" t="s">
        <v>241</v>
      </c>
      <c r="B203" s="1" t="s">
        <v>32</v>
      </c>
      <c r="C203" s="1" t="s">
        <v>18</v>
      </c>
      <c r="D203">
        <v>5</v>
      </c>
      <c r="E203">
        <v>4</v>
      </c>
      <c r="F203">
        <v>1370</v>
      </c>
      <c r="G203">
        <v>966074</v>
      </c>
      <c r="H203">
        <v>909046</v>
      </c>
      <c r="I203" s="2">
        <v>45371</v>
      </c>
      <c r="J203" s="2">
        <v>45397</v>
      </c>
      <c r="K203">
        <v>26</v>
      </c>
      <c r="L203" s="1" t="s">
        <v>27</v>
      </c>
      <c r="M203" s="1" t="s">
        <v>28</v>
      </c>
      <c r="N203">
        <v>4.4999999999999998E-2</v>
      </c>
      <c r="O203">
        <v>40907.07</v>
      </c>
    </row>
    <row r="204" spans="1:15" x14ac:dyDescent="0.3">
      <c r="A204" s="1" t="s">
        <v>242</v>
      </c>
      <c r="B204" s="1" t="s">
        <v>22</v>
      </c>
      <c r="C204" s="1" t="s">
        <v>18</v>
      </c>
      <c r="D204">
        <v>5</v>
      </c>
      <c r="E204">
        <v>4</v>
      </c>
      <c r="F204">
        <v>1682</v>
      </c>
      <c r="G204">
        <v>1465368</v>
      </c>
      <c r="H204">
        <v>1419699</v>
      </c>
      <c r="I204" s="2">
        <v>45291</v>
      </c>
      <c r="J204" s="2">
        <v>45353</v>
      </c>
      <c r="K204">
        <v>62</v>
      </c>
      <c r="L204" s="1" t="s">
        <v>19</v>
      </c>
      <c r="M204" s="1" t="s">
        <v>28</v>
      </c>
      <c r="N204">
        <v>4.4999999999999998E-2</v>
      </c>
      <c r="O204">
        <v>63886.45</v>
      </c>
    </row>
    <row r="205" spans="1:15" x14ac:dyDescent="0.3">
      <c r="A205" s="1" t="s">
        <v>243</v>
      </c>
      <c r="B205" s="1" t="s">
        <v>22</v>
      </c>
      <c r="C205" s="1" t="s">
        <v>23</v>
      </c>
      <c r="D205">
        <v>4</v>
      </c>
      <c r="E205">
        <v>1</v>
      </c>
      <c r="F205">
        <v>1425</v>
      </c>
      <c r="G205">
        <v>893135</v>
      </c>
      <c r="H205">
        <v>841602</v>
      </c>
      <c r="I205" s="2">
        <v>44995</v>
      </c>
      <c r="J205" s="2">
        <v>45022</v>
      </c>
      <c r="K205">
        <v>27</v>
      </c>
      <c r="L205" s="1" t="s">
        <v>30</v>
      </c>
      <c r="M205" s="1" t="s">
        <v>24</v>
      </c>
      <c r="N205">
        <v>0.04</v>
      </c>
      <c r="O205">
        <v>33664.080000000002</v>
      </c>
    </row>
    <row r="206" spans="1:15" x14ac:dyDescent="0.3">
      <c r="A206" s="1" t="s">
        <v>244</v>
      </c>
      <c r="B206" s="1" t="s">
        <v>41</v>
      </c>
      <c r="C206" s="1" t="s">
        <v>33</v>
      </c>
      <c r="D206">
        <v>1</v>
      </c>
      <c r="E206">
        <v>3</v>
      </c>
      <c r="F206">
        <v>2696</v>
      </c>
      <c r="G206">
        <v>907697</v>
      </c>
      <c r="H206">
        <v>884104</v>
      </c>
      <c r="I206" s="2">
        <v>45226</v>
      </c>
      <c r="J206" s="2">
        <v>45310</v>
      </c>
      <c r="K206">
        <v>84</v>
      </c>
      <c r="L206" s="1" t="s">
        <v>42</v>
      </c>
      <c r="M206" s="1" t="s">
        <v>28</v>
      </c>
      <c r="N206">
        <v>0.05</v>
      </c>
      <c r="O206">
        <v>44205.2</v>
      </c>
    </row>
    <row r="207" spans="1:15" x14ac:dyDescent="0.3">
      <c r="A207" s="1" t="s">
        <v>245</v>
      </c>
      <c r="B207" s="1" t="s">
        <v>59</v>
      </c>
      <c r="C207" s="1" t="s">
        <v>35</v>
      </c>
      <c r="D207">
        <v>2</v>
      </c>
      <c r="E207">
        <v>2</v>
      </c>
      <c r="F207">
        <v>1037</v>
      </c>
      <c r="G207">
        <v>1169179</v>
      </c>
      <c r="H207">
        <v>1135878</v>
      </c>
      <c r="I207" s="2">
        <v>45177</v>
      </c>
      <c r="J207" s="2">
        <v>45228</v>
      </c>
      <c r="K207">
        <v>51</v>
      </c>
      <c r="L207" s="1" t="s">
        <v>30</v>
      </c>
      <c r="M207" s="1" t="s">
        <v>20</v>
      </c>
      <c r="N207">
        <v>4.4999999999999998E-2</v>
      </c>
      <c r="O207">
        <v>51114.51</v>
      </c>
    </row>
    <row r="208" spans="1:15" x14ac:dyDescent="0.3">
      <c r="A208" s="1" t="s">
        <v>246</v>
      </c>
      <c r="B208" s="1" t="s">
        <v>59</v>
      </c>
      <c r="C208" s="1" t="s">
        <v>18</v>
      </c>
      <c r="D208">
        <v>1</v>
      </c>
      <c r="E208">
        <v>4</v>
      </c>
      <c r="F208">
        <v>881</v>
      </c>
      <c r="G208">
        <v>1743431</v>
      </c>
      <c r="H208">
        <v>1696481</v>
      </c>
      <c r="I208" s="2">
        <v>45561</v>
      </c>
      <c r="J208" s="2">
        <v>45641</v>
      </c>
      <c r="K208">
        <v>80</v>
      </c>
      <c r="L208" s="1" t="s">
        <v>42</v>
      </c>
      <c r="M208" s="1" t="s">
        <v>24</v>
      </c>
      <c r="N208">
        <v>0.05</v>
      </c>
      <c r="O208">
        <v>84824.05</v>
      </c>
    </row>
    <row r="209" spans="1:15" x14ac:dyDescent="0.3">
      <c r="A209" s="1" t="s">
        <v>247</v>
      </c>
      <c r="B209" s="1" t="s">
        <v>32</v>
      </c>
      <c r="C209" s="1" t="s">
        <v>35</v>
      </c>
      <c r="D209">
        <v>2</v>
      </c>
      <c r="E209">
        <v>2</v>
      </c>
      <c r="F209">
        <v>2001</v>
      </c>
      <c r="G209">
        <v>1568745</v>
      </c>
      <c r="H209">
        <v>1523836</v>
      </c>
      <c r="I209" s="2">
        <v>45578</v>
      </c>
      <c r="J209" s="2">
        <v>45588</v>
      </c>
      <c r="K209">
        <v>10</v>
      </c>
      <c r="L209" s="1" t="s">
        <v>30</v>
      </c>
      <c r="M209" s="1" t="s">
        <v>28</v>
      </c>
      <c r="N209">
        <v>0.04</v>
      </c>
      <c r="O209">
        <v>60953.440000000002</v>
      </c>
    </row>
    <row r="210" spans="1:15" x14ac:dyDescent="0.3">
      <c r="A210" s="1" t="s">
        <v>248</v>
      </c>
      <c r="B210" s="1" t="s">
        <v>41</v>
      </c>
      <c r="C210" s="1" t="s">
        <v>33</v>
      </c>
      <c r="D210">
        <v>1</v>
      </c>
      <c r="E210">
        <v>2</v>
      </c>
      <c r="F210">
        <v>994</v>
      </c>
      <c r="G210">
        <v>1082618</v>
      </c>
      <c r="H210">
        <v>1014607</v>
      </c>
      <c r="I210" s="2">
        <v>44990</v>
      </c>
      <c r="J210" s="2">
        <v>45024</v>
      </c>
      <c r="K210">
        <v>34</v>
      </c>
      <c r="L210" s="1" t="s">
        <v>30</v>
      </c>
      <c r="M210" s="1" t="s">
        <v>24</v>
      </c>
      <c r="N210">
        <v>0.04</v>
      </c>
      <c r="O210">
        <v>40584.28</v>
      </c>
    </row>
    <row r="211" spans="1:15" x14ac:dyDescent="0.3">
      <c r="A211" s="1" t="s">
        <v>249</v>
      </c>
      <c r="B211" s="1" t="s">
        <v>22</v>
      </c>
      <c r="C211" s="1" t="s">
        <v>23</v>
      </c>
      <c r="D211">
        <v>1</v>
      </c>
      <c r="E211">
        <v>4</v>
      </c>
      <c r="F211">
        <v>1178</v>
      </c>
      <c r="G211">
        <v>1045326</v>
      </c>
      <c r="H211">
        <v>990334</v>
      </c>
      <c r="I211" s="2">
        <v>45261</v>
      </c>
      <c r="J211" s="2">
        <v>45298</v>
      </c>
      <c r="K211">
        <v>37</v>
      </c>
      <c r="L211" s="1" t="s">
        <v>30</v>
      </c>
      <c r="M211" s="1" t="s">
        <v>20</v>
      </c>
      <c r="N211">
        <v>0.05</v>
      </c>
      <c r="O211">
        <v>49516.7</v>
      </c>
    </row>
    <row r="212" spans="1:15" x14ac:dyDescent="0.3">
      <c r="A212" s="1" t="s">
        <v>250</v>
      </c>
      <c r="B212" s="1" t="s">
        <v>32</v>
      </c>
      <c r="C212" s="1" t="s">
        <v>35</v>
      </c>
      <c r="D212">
        <v>5</v>
      </c>
      <c r="E212">
        <v>1</v>
      </c>
      <c r="F212">
        <v>3440</v>
      </c>
      <c r="G212">
        <v>1510840</v>
      </c>
      <c r="H212">
        <v>1445058</v>
      </c>
      <c r="I212" s="2">
        <v>45599</v>
      </c>
      <c r="J212" s="2">
        <v>45679</v>
      </c>
      <c r="K212">
        <v>80</v>
      </c>
      <c r="L212" s="1" t="s">
        <v>44</v>
      </c>
      <c r="M212" s="1" t="s">
        <v>24</v>
      </c>
      <c r="N212">
        <v>4.4999999999999998E-2</v>
      </c>
      <c r="O212">
        <v>65027.61</v>
      </c>
    </row>
    <row r="213" spans="1:15" x14ac:dyDescent="0.3">
      <c r="A213" s="1" t="s">
        <v>251</v>
      </c>
      <c r="B213" s="1" t="s">
        <v>37</v>
      </c>
      <c r="C213" s="1" t="s">
        <v>33</v>
      </c>
      <c r="D213">
        <v>1</v>
      </c>
      <c r="E213">
        <v>4</v>
      </c>
      <c r="F213">
        <v>1660</v>
      </c>
      <c r="G213">
        <v>1238259</v>
      </c>
      <c r="H213">
        <v>1174449</v>
      </c>
      <c r="I213" s="2">
        <v>45025</v>
      </c>
      <c r="J213" s="2">
        <v>45078</v>
      </c>
      <c r="K213">
        <v>53</v>
      </c>
      <c r="L213" s="1" t="s">
        <v>19</v>
      </c>
      <c r="M213" s="1" t="s">
        <v>20</v>
      </c>
      <c r="N213">
        <v>0.05</v>
      </c>
      <c r="O213">
        <v>58722.45</v>
      </c>
    </row>
    <row r="214" spans="1:15" x14ac:dyDescent="0.3">
      <c r="A214" s="1" t="s">
        <v>252</v>
      </c>
      <c r="B214" s="1" t="s">
        <v>37</v>
      </c>
      <c r="C214" s="1" t="s">
        <v>35</v>
      </c>
      <c r="D214">
        <v>5</v>
      </c>
      <c r="E214">
        <v>4</v>
      </c>
      <c r="F214">
        <v>617</v>
      </c>
      <c r="G214">
        <v>1153531</v>
      </c>
      <c r="H214">
        <v>1122862</v>
      </c>
      <c r="I214" s="2">
        <v>45554</v>
      </c>
      <c r="J214" s="2">
        <v>45627</v>
      </c>
      <c r="K214">
        <v>73</v>
      </c>
      <c r="L214" s="1" t="s">
        <v>27</v>
      </c>
      <c r="M214" s="1" t="s">
        <v>28</v>
      </c>
      <c r="N214">
        <v>0.04</v>
      </c>
      <c r="O214">
        <v>44914.48</v>
      </c>
    </row>
    <row r="215" spans="1:15" x14ac:dyDescent="0.3">
      <c r="A215" s="1" t="s">
        <v>253</v>
      </c>
      <c r="B215" s="1" t="s">
        <v>32</v>
      </c>
      <c r="C215" s="1" t="s">
        <v>18</v>
      </c>
      <c r="D215">
        <v>5</v>
      </c>
      <c r="E215">
        <v>3</v>
      </c>
      <c r="F215">
        <v>2847</v>
      </c>
      <c r="G215">
        <v>1035454</v>
      </c>
      <c r="H215">
        <v>960268</v>
      </c>
      <c r="I215" s="2">
        <v>45285</v>
      </c>
      <c r="J215" s="2">
        <v>45299</v>
      </c>
      <c r="K215">
        <v>14</v>
      </c>
      <c r="L215" s="1" t="s">
        <v>51</v>
      </c>
      <c r="M215" s="1" t="s">
        <v>20</v>
      </c>
      <c r="N215">
        <v>0.04</v>
      </c>
      <c r="O215">
        <v>38410.720000000001</v>
      </c>
    </row>
    <row r="216" spans="1:15" x14ac:dyDescent="0.3">
      <c r="A216" s="1" t="s">
        <v>254</v>
      </c>
      <c r="B216" s="1" t="s">
        <v>22</v>
      </c>
      <c r="C216" s="1" t="s">
        <v>23</v>
      </c>
      <c r="D216">
        <v>1</v>
      </c>
      <c r="E216">
        <v>1</v>
      </c>
      <c r="F216">
        <v>1939</v>
      </c>
      <c r="G216">
        <v>691894</v>
      </c>
      <c r="H216">
        <v>635610</v>
      </c>
      <c r="I216" s="2">
        <v>45020</v>
      </c>
      <c r="J216" s="2">
        <v>45107</v>
      </c>
      <c r="K216">
        <v>87</v>
      </c>
      <c r="L216" s="1" t="s">
        <v>39</v>
      </c>
      <c r="M216" s="1" t="s">
        <v>24</v>
      </c>
      <c r="N216">
        <v>0.04</v>
      </c>
      <c r="O216">
        <v>25424.400000000001</v>
      </c>
    </row>
    <row r="217" spans="1:15" x14ac:dyDescent="0.3">
      <c r="A217" s="1" t="s">
        <v>255</v>
      </c>
      <c r="B217" s="1" t="s">
        <v>32</v>
      </c>
      <c r="C217" s="1" t="s">
        <v>23</v>
      </c>
      <c r="D217">
        <v>3</v>
      </c>
      <c r="E217">
        <v>2</v>
      </c>
      <c r="F217">
        <v>706</v>
      </c>
      <c r="G217">
        <v>854234</v>
      </c>
      <c r="H217">
        <v>804433</v>
      </c>
      <c r="I217" s="2">
        <v>45046</v>
      </c>
      <c r="J217" s="2">
        <v>45060</v>
      </c>
      <c r="K217">
        <v>14</v>
      </c>
      <c r="L217" s="1" t="s">
        <v>53</v>
      </c>
      <c r="M217" s="1" t="s">
        <v>28</v>
      </c>
      <c r="N217">
        <v>0.04</v>
      </c>
      <c r="O217">
        <v>32177.32</v>
      </c>
    </row>
    <row r="218" spans="1:15" x14ac:dyDescent="0.3">
      <c r="A218" s="1" t="s">
        <v>256</v>
      </c>
      <c r="B218" s="1" t="s">
        <v>37</v>
      </c>
      <c r="C218" s="1" t="s">
        <v>18</v>
      </c>
      <c r="D218">
        <v>2</v>
      </c>
      <c r="E218">
        <v>4</v>
      </c>
      <c r="F218">
        <v>3297</v>
      </c>
      <c r="G218">
        <v>607232</v>
      </c>
      <c r="H218">
        <v>528803</v>
      </c>
      <c r="I218" s="2">
        <v>45236</v>
      </c>
      <c r="J218" s="2">
        <v>45243</v>
      </c>
      <c r="K218">
        <v>7</v>
      </c>
      <c r="L218" s="1" t="s">
        <v>53</v>
      </c>
      <c r="M218" s="1" t="s">
        <v>28</v>
      </c>
      <c r="N218">
        <v>0.04</v>
      </c>
      <c r="O218">
        <v>21152.12</v>
      </c>
    </row>
    <row r="219" spans="1:15" x14ac:dyDescent="0.3">
      <c r="A219" s="1" t="s">
        <v>257</v>
      </c>
      <c r="B219" s="1" t="s">
        <v>59</v>
      </c>
      <c r="C219" s="1" t="s">
        <v>18</v>
      </c>
      <c r="D219">
        <v>3</v>
      </c>
      <c r="E219">
        <v>4</v>
      </c>
      <c r="F219">
        <v>1193</v>
      </c>
      <c r="G219">
        <v>1614219</v>
      </c>
      <c r="H219">
        <v>1567904</v>
      </c>
      <c r="I219" s="2">
        <v>44961</v>
      </c>
      <c r="J219" s="2">
        <v>45012</v>
      </c>
      <c r="K219">
        <v>51</v>
      </c>
      <c r="L219" s="1" t="s">
        <v>53</v>
      </c>
      <c r="M219" s="1" t="s">
        <v>20</v>
      </c>
      <c r="N219">
        <v>4.4999999999999998E-2</v>
      </c>
      <c r="O219">
        <v>70555.679999999993</v>
      </c>
    </row>
    <row r="220" spans="1:15" x14ac:dyDescent="0.3">
      <c r="A220" s="1" t="s">
        <v>258</v>
      </c>
      <c r="B220" s="1" t="s">
        <v>41</v>
      </c>
      <c r="C220" s="1" t="s">
        <v>18</v>
      </c>
      <c r="D220">
        <v>5</v>
      </c>
      <c r="E220">
        <v>2</v>
      </c>
      <c r="F220">
        <v>2226</v>
      </c>
      <c r="G220">
        <v>1534022</v>
      </c>
      <c r="H220">
        <v>1528207</v>
      </c>
      <c r="I220" s="2">
        <v>45594</v>
      </c>
      <c r="J220" s="2">
        <v>45599</v>
      </c>
      <c r="K220">
        <v>5</v>
      </c>
      <c r="L220" s="1" t="s">
        <v>53</v>
      </c>
      <c r="M220" s="1" t="s">
        <v>20</v>
      </c>
      <c r="N220">
        <v>0.04</v>
      </c>
      <c r="O220">
        <v>61128.28</v>
      </c>
    </row>
    <row r="221" spans="1:15" x14ac:dyDescent="0.3">
      <c r="A221" s="1" t="s">
        <v>259</v>
      </c>
      <c r="B221" s="1" t="s">
        <v>59</v>
      </c>
      <c r="C221" s="1" t="s">
        <v>35</v>
      </c>
      <c r="D221">
        <v>1</v>
      </c>
      <c r="E221">
        <v>4</v>
      </c>
      <c r="F221">
        <v>578</v>
      </c>
      <c r="G221">
        <v>925567</v>
      </c>
      <c r="H221">
        <v>866261</v>
      </c>
      <c r="I221" s="2">
        <v>45599</v>
      </c>
      <c r="J221" s="2">
        <v>45663</v>
      </c>
      <c r="K221">
        <v>64</v>
      </c>
      <c r="L221" s="1" t="s">
        <v>42</v>
      </c>
      <c r="M221" s="1" t="s">
        <v>20</v>
      </c>
      <c r="N221">
        <v>4.4999999999999998E-2</v>
      </c>
      <c r="O221">
        <v>38981.74</v>
      </c>
    </row>
    <row r="222" spans="1:15" x14ac:dyDescent="0.3">
      <c r="A222" s="1" t="s">
        <v>260</v>
      </c>
      <c r="B222" s="1" t="s">
        <v>17</v>
      </c>
      <c r="C222" s="1" t="s">
        <v>38</v>
      </c>
      <c r="D222">
        <v>5</v>
      </c>
      <c r="E222">
        <v>3</v>
      </c>
      <c r="F222">
        <v>3303</v>
      </c>
      <c r="G222">
        <v>1131883</v>
      </c>
      <c r="H222">
        <v>1121418</v>
      </c>
      <c r="I222" s="2">
        <v>45080</v>
      </c>
      <c r="J222" s="2">
        <v>45087</v>
      </c>
      <c r="K222">
        <v>7</v>
      </c>
      <c r="L222" s="1" t="s">
        <v>19</v>
      </c>
      <c r="M222" s="1" t="s">
        <v>24</v>
      </c>
      <c r="N222">
        <v>0.04</v>
      </c>
      <c r="O222">
        <v>44856.72</v>
      </c>
    </row>
    <row r="223" spans="1:15" x14ac:dyDescent="0.3">
      <c r="A223" s="1" t="s">
        <v>261</v>
      </c>
      <c r="B223" s="1" t="s">
        <v>59</v>
      </c>
      <c r="C223" s="1" t="s">
        <v>23</v>
      </c>
      <c r="D223">
        <v>3</v>
      </c>
      <c r="E223">
        <v>4</v>
      </c>
      <c r="F223">
        <v>2238</v>
      </c>
      <c r="G223">
        <v>798529</v>
      </c>
      <c r="H223">
        <v>734466</v>
      </c>
      <c r="I223" s="2">
        <v>45469</v>
      </c>
      <c r="J223" s="2">
        <v>45540</v>
      </c>
      <c r="K223">
        <v>71</v>
      </c>
      <c r="L223" s="1" t="s">
        <v>39</v>
      </c>
      <c r="M223" s="1" t="s">
        <v>24</v>
      </c>
      <c r="N223">
        <v>4.4999999999999998E-2</v>
      </c>
      <c r="O223">
        <v>33050.97</v>
      </c>
    </row>
    <row r="224" spans="1:15" x14ac:dyDescent="0.3">
      <c r="A224" s="1" t="s">
        <v>262</v>
      </c>
      <c r="B224" s="1" t="s">
        <v>41</v>
      </c>
      <c r="C224" s="1" t="s">
        <v>38</v>
      </c>
      <c r="D224">
        <v>4</v>
      </c>
      <c r="E224">
        <v>4</v>
      </c>
      <c r="F224">
        <v>2612</v>
      </c>
      <c r="G224">
        <v>727983</v>
      </c>
      <c r="H224">
        <v>717201</v>
      </c>
      <c r="I224" s="2">
        <v>45232</v>
      </c>
      <c r="J224" s="2">
        <v>45310</v>
      </c>
      <c r="K224">
        <v>78</v>
      </c>
      <c r="L224" s="1" t="s">
        <v>42</v>
      </c>
      <c r="M224" s="1" t="s">
        <v>20</v>
      </c>
      <c r="N224">
        <v>4.4999999999999998E-2</v>
      </c>
      <c r="O224">
        <v>32274.04</v>
      </c>
    </row>
    <row r="225" spans="1:15" x14ac:dyDescent="0.3">
      <c r="A225" s="1" t="s">
        <v>263</v>
      </c>
      <c r="B225" s="1" t="s">
        <v>37</v>
      </c>
      <c r="C225" s="1" t="s">
        <v>33</v>
      </c>
      <c r="D225">
        <v>5</v>
      </c>
      <c r="E225">
        <v>3</v>
      </c>
      <c r="F225">
        <v>1107</v>
      </c>
      <c r="G225">
        <v>377084</v>
      </c>
      <c r="H225">
        <v>326286</v>
      </c>
      <c r="I225" s="2">
        <v>45016</v>
      </c>
      <c r="J225" s="2">
        <v>45088</v>
      </c>
      <c r="K225">
        <v>72</v>
      </c>
      <c r="L225" s="1" t="s">
        <v>44</v>
      </c>
      <c r="M225" s="1" t="s">
        <v>20</v>
      </c>
      <c r="N225">
        <v>0.05</v>
      </c>
      <c r="O225">
        <v>16314.3</v>
      </c>
    </row>
    <row r="226" spans="1:15" x14ac:dyDescent="0.3">
      <c r="A226" s="1" t="s">
        <v>264</v>
      </c>
      <c r="B226" s="1" t="s">
        <v>37</v>
      </c>
      <c r="C226" s="1" t="s">
        <v>23</v>
      </c>
      <c r="D226">
        <v>2</v>
      </c>
      <c r="E226">
        <v>3</v>
      </c>
      <c r="F226">
        <v>1394</v>
      </c>
      <c r="G226">
        <v>1511127</v>
      </c>
      <c r="H226">
        <v>1471239</v>
      </c>
      <c r="I226" s="2">
        <v>45088</v>
      </c>
      <c r="J226" s="2">
        <v>45110</v>
      </c>
      <c r="K226">
        <v>22</v>
      </c>
      <c r="L226" s="1" t="s">
        <v>51</v>
      </c>
      <c r="M226" s="1" t="s">
        <v>28</v>
      </c>
      <c r="N226">
        <v>0.04</v>
      </c>
      <c r="O226">
        <v>58849.56</v>
      </c>
    </row>
    <row r="227" spans="1:15" x14ac:dyDescent="0.3">
      <c r="A227" s="1" t="s">
        <v>265</v>
      </c>
      <c r="B227" s="1" t="s">
        <v>32</v>
      </c>
      <c r="C227" s="1" t="s">
        <v>23</v>
      </c>
      <c r="D227">
        <v>3</v>
      </c>
      <c r="E227">
        <v>2</v>
      </c>
      <c r="F227">
        <v>2061</v>
      </c>
      <c r="G227">
        <v>490440</v>
      </c>
      <c r="H227">
        <v>424622</v>
      </c>
      <c r="I227" s="2">
        <v>45407</v>
      </c>
      <c r="J227" s="2">
        <v>45425</v>
      </c>
      <c r="K227">
        <v>18</v>
      </c>
      <c r="L227" s="1" t="s">
        <v>19</v>
      </c>
      <c r="M227" s="1" t="s">
        <v>20</v>
      </c>
      <c r="N227">
        <v>4.4999999999999998E-2</v>
      </c>
      <c r="O227">
        <v>19107.990000000002</v>
      </c>
    </row>
    <row r="228" spans="1:15" x14ac:dyDescent="0.3">
      <c r="A228" s="1" t="s">
        <v>266</v>
      </c>
      <c r="B228" s="1" t="s">
        <v>26</v>
      </c>
      <c r="C228" s="1" t="s">
        <v>38</v>
      </c>
      <c r="D228">
        <v>5</v>
      </c>
      <c r="E228">
        <v>2</v>
      </c>
      <c r="F228">
        <v>2434</v>
      </c>
      <c r="G228">
        <v>1709760</v>
      </c>
      <c r="H228">
        <v>1655680</v>
      </c>
      <c r="I228" s="2">
        <v>45267</v>
      </c>
      <c r="J228" s="2">
        <v>45306</v>
      </c>
      <c r="K228">
        <v>39</v>
      </c>
      <c r="L228" s="1" t="s">
        <v>44</v>
      </c>
      <c r="M228" s="1" t="s">
        <v>28</v>
      </c>
      <c r="N228">
        <v>4.4999999999999998E-2</v>
      </c>
      <c r="O228">
        <v>74505.600000000006</v>
      </c>
    </row>
    <row r="229" spans="1:15" x14ac:dyDescent="0.3">
      <c r="A229" s="1" t="s">
        <v>267</v>
      </c>
      <c r="B229" s="1" t="s">
        <v>37</v>
      </c>
      <c r="C229" s="1" t="s">
        <v>33</v>
      </c>
      <c r="D229">
        <v>1</v>
      </c>
      <c r="E229">
        <v>1</v>
      </c>
      <c r="F229">
        <v>2298</v>
      </c>
      <c r="G229">
        <v>631273</v>
      </c>
      <c r="H229">
        <v>621451</v>
      </c>
      <c r="I229" s="2">
        <v>45113</v>
      </c>
      <c r="J229" s="2">
        <v>45157</v>
      </c>
      <c r="K229">
        <v>44</v>
      </c>
      <c r="L229" s="1" t="s">
        <v>39</v>
      </c>
      <c r="M229" s="1" t="s">
        <v>28</v>
      </c>
      <c r="N229">
        <v>4.4999999999999998E-2</v>
      </c>
      <c r="O229">
        <v>27965.29</v>
      </c>
    </row>
    <row r="230" spans="1:15" x14ac:dyDescent="0.3">
      <c r="A230" s="1" t="s">
        <v>268</v>
      </c>
      <c r="B230" s="1" t="s">
        <v>37</v>
      </c>
      <c r="C230" s="1" t="s">
        <v>38</v>
      </c>
      <c r="D230">
        <v>4</v>
      </c>
      <c r="E230">
        <v>3</v>
      </c>
      <c r="F230">
        <v>2715</v>
      </c>
      <c r="G230">
        <v>852821</v>
      </c>
      <c r="H230">
        <v>844633</v>
      </c>
      <c r="I230" s="2">
        <v>45015</v>
      </c>
      <c r="J230" s="2">
        <v>45022</v>
      </c>
      <c r="K230">
        <v>7</v>
      </c>
      <c r="L230" s="1" t="s">
        <v>27</v>
      </c>
      <c r="M230" s="1" t="s">
        <v>24</v>
      </c>
      <c r="N230">
        <v>0.04</v>
      </c>
      <c r="O230">
        <v>33785.32</v>
      </c>
    </row>
    <row r="231" spans="1:15" x14ac:dyDescent="0.3">
      <c r="A231" s="1" t="s">
        <v>269</v>
      </c>
      <c r="B231" s="1" t="s">
        <v>59</v>
      </c>
      <c r="C231" s="1" t="s">
        <v>35</v>
      </c>
      <c r="D231">
        <v>3</v>
      </c>
      <c r="E231">
        <v>2</v>
      </c>
      <c r="F231">
        <v>3258</v>
      </c>
      <c r="G231">
        <v>1072550</v>
      </c>
      <c r="H231">
        <v>1032734</v>
      </c>
      <c r="I231" s="2">
        <v>45016</v>
      </c>
      <c r="J231" s="2">
        <v>45075</v>
      </c>
      <c r="K231">
        <v>59</v>
      </c>
      <c r="L231" s="1" t="s">
        <v>53</v>
      </c>
      <c r="M231" s="1" t="s">
        <v>28</v>
      </c>
      <c r="N231">
        <v>0.05</v>
      </c>
      <c r="O231">
        <v>51636.7</v>
      </c>
    </row>
    <row r="232" spans="1:15" x14ac:dyDescent="0.3">
      <c r="A232" s="1" t="s">
        <v>270</v>
      </c>
      <c r="B232" s="1" t="s">
        <v>26</v>
      </c>
      <c r="C232" s="1" t="s">
        <v>38</v>
      </c>
      <c r="D232">
        <v>5</v>
      </c>
      <c r="E232">
        <v>1</v>
      </c>
      <c r="F232">
        <v>1418</v>
      </c>
      <c r="G232">
        <v>1386311</v>
      </c>
      <c r="H232">
        <v>1352390</v>
      </c>
      <c r="I232" s="2">
        <v>45190</v>
      </c>
      <c r="J232" s="2">
        <v>45211</v>
      </c>
      <c r="K232">
        <v>21</v>
      </c>
      <c r="L232" s="1" t="s">
        <v>42</v>
      </c>
      <c r="M232" s="1" t="s">
        <v>20</v>
      </c>
      <c r="N232">
        <v>0.04</v>
      </c>
      <c r="O232">
        <v>54095.6</v>
      </c>
    </row>
    <row r="233" spans="1:15" x14ac:dyDescent="0.3">
      <c r="A233" s="1" t="s">
        <v>271</v>
      </c>
      <c r="B233" s="1" t="s">
        <v>22</v>
      </c>
      <c r="C233" s="1" t="s">
        <v>38</v>
      </c>
      <c r="D233">
        <v>5</v>
      </c>
      <c r="E233">
        <v>1</v>
      </c>
      <c r="F233">
        <v>825</v>
      </c>
      <c r="G233">
        <v>731490</v>
      </c>
      <c r="H233">
        <v>697553</v>
      </c>
      <c r="I233" s="2">
        <v>45481</v>
      </c>
      <c r="J233" s="2">
        <v>45503</v>
      </c>
      <c r="K233">
        <v>22</v>
      </c>
      <c r="L233" s="1" t="s">
        <v>39</v>
      </c>
      <c r="M233" s="1" t="s">
        <v>24</v>
      </c>
      <c r="N233">
        <v>0.05</v>
      </c>
      <c r="O233">
        <v>34877.65</v>
      </c>
    </row>
    <row r="234" spans="1:15" x14ac:dyDescent="0.3">
      <c r="A234" s="1" t="s">
        <v>272</v>
      </c>
      <c r="B234" s="1" t="s">
        <v>17</v>
      </c>
      <c r="C234" s="1" t="s">
        <v>33</v>
      </c>
      <c r="D234">
        <v>3</v>
      </c>
      <c r="E234">
        <v>3</v>
      </c>
      <c r="F234">
        <v>928</v>
      </c>
      <c r="G234">
        <v>489206</v>
      </c>
      <c r="H234">
        <v>444606</v>
      </c>
      <c r="I234" s="2">
        <v>45201</v>
      </c>
      <c r="J234" s="2">
        <v>45224</v>
      </c>
      <c r="K234">
        <v>23</v>
      </c>
      <c r="L234" s="1" t="s">
        <v>44</v>
      </c>
      <c r="M234" s="1" t="s">
        <v>20</v>
      </c>
      <c r="N234">
        <v>0.04</v>
      </c>
      <c r="O234">
        <v>17784.240000000002</v>
      </c>
    </row>
    <row r="235" spans="1:15" x14ac:dyDescent="0.3">
      <c r="A235" s="1" t="s">
        <v>273</v>
      </c>
      <c r="B235" s="1" t="s">
        <v>48</v>
      </c>
      <c r="C235" s="1" t="s">
        <v>23</v>
      </c>
      <c r="D235">
        <v>3</v>
      </c>
      <c r="E235">
        <v>1</v>
      </c>
      <c r="F235">
        <v>3073</v>
      </c>
      <c r="G235">
        <v>1443117</v>
      </c>
      <c r="H235">
        <v>1407141</v>
      </c>
      <c r="I235" s="2">
        <v>45381</v>
      </c>
      <c r="J235" s="2">
        <v>45414</v>
      </c>
      <c r="K235">
        <v>33</v>
      </c>
      <c r="L235" s="1" t="s">
        <v>30</v>
      </c>
      <c r="M235" s="1" t="s">
        <v>20</v>
      </c>
      <c r="N235">
        <v>0.05</v>
      </c>
      <c r="O235">
        <v>70357.05</v>
      </c>
    </row>
    <row r="236" spans="1:15" x14ac:dyDescent="0.3">
      <c r="A236" s="1" t="s">
        <v>274</v>
      </c>
      <c r="B236" s="1" t="s">
        <v>48</v>
      </c>
      <c r="C236" s="1" t="s">
        <v>33</v>
      </c>
      <c r="D236">
        <v>2</v>
      </c>
      <c r="E236">
        <v>1</v>
      </c>
      <c r="F236">
        <v>2510</v>
      </c>
      <c r="G236">
        <v>958453</v>
      </c>
      <c r="H236">
        <v>900736</v>
      </c>
      <c r="I236" s="2">
        <v>45138</v>
      </c>
      <c r="J236" s="2">
        <v>45220</v>
      </c>
      <c r="K236">
        <v>82</v>
      </c>
      <c r="L236" s="1" t="s">
        <v>42</v>
      </c>
      <c r="M236" s="1" t="s">
        <v>24</v>
      </c>
      <c r="N236">
        <v>0.04</v>
      </c>
      <c r="O236">
        <v>36029.440000000002</v>
      </c>
    </row>
    <row r="237" spans="1:15" x14ac:dyDescent="0.3">
      <c r="A237" s="1" t="s">
        <v>275</v>
      </c>
      <c r="B237" s="1" t="s">
        <v>17</v>
      </c>
      <c r="C237" s="1" t="s">
        <v>38</v>
      </c>
      <c r="D237">
        <v>4</v>
      </c>
      <c r="E237">
        <v>4</v>
      </c>
      <c r="F237">
        <v>1767</v>
      </c>
      <c r="G237">
        <v>1377631</v>
      </c>
      <c r="H237">
        <v>1370537</v>
      </c>
      <c r="I237" s="2">
        <v>45365</v>
      </c>
      <c r="J237" s="2">
        <v>45410</v>
      </c>
      <c r="K237">
        <v>45</v>
      </c>
      <c r="L237" s="1" t="s">
        <v>51</v>
      </c>
      <c r="M237" s="1" t="s">
        <v>20</v>
      </c>
      <c r="N237">
        <v>0.05</v>
      </c>
      <c r="O237">
        <v>68526.850000000006</v>
      </c>
    </row>
    <row r="238" spans="1:15" x14ac:dyDescent="0.3">
      <c r="A238" s="1" t="s">
        <v>276</v>
      </c>
      <c r="B238" s="1" t="s">
        <v>48</v>
      </c>
      <c r="C238" s="1" t="s">
        <v>18</v>
      </c>
      <c r="D238">
        <v>5</v>
      </c>
      <c r="E238">
        <v>1</v>
      </c>
      <c r="F238">
        <v>1396</v>
      </c>
      <c r="G238">
        <v>550070</v>
      </c>
      <c r="H238">
        <v>521528</v>
      </c>
      <c r="I238" s="2">
        <v>45405</v>
      </c>
      <c r="J238" s="2">
        <v>45458</v>
      </c>
      <c r="K238">
        <v>53</v>
      </c>
      <c r="L238" s="1" t="s">
        <v>51</v>
      </c>
      <c r="M238" s="1" t="s">
        <v>28</v>
      </c>
      <c r="N238">
        <v>0.04</v>
      </c>
      <c r="O238">
        <v>20861.12</v>
      </c>
    </row>
    <row r="239" spans="1:15" x14ac:dyDescent="0.3">
      <c r="A239" s="1" t="s">
        <v>277</v>
      </c>
      <c r="B239" s="1" t="s">
        <v>37</v>
      </c>
      <c r="C239" s="1" t="s">
        <v>38</v>
      </c>
      <c r="D239">
        <v>1</v>
      </c>
      <c r="E239">
        <v>1</v>
      </c>
      <c r="F239">
        <v>2177</v>
      </c>
      <c r="G239">
        <v>1050603</v>
      </c>
      <c r="H239">
        <v>1005058</v>
      </c>
      <c r="I239" s="2">
        <v>45619</v>
      </c>
      <c r="J239" s="2">
        <v>45677</v>
      </c>
      <c r="K239">
        <v>58</v>
      </c>
      <c r="L239" s="1" t="s">
        <v>53</v>
      </c>
      <c r="M239" s="1" t="s">
        <v>28</v>
      </c>
      <c r="N239">
        <v>0.05</v>
      </c>
      <c r="O239">
        <v>50252.9</v>
      </c>
    </row>
    <row r="240" spans="1:15" x14ac:dyDescent="0.3">
      <c r="A240" s="1" t="s">
        <v>278</v>
      </c>
      <c r="B240" s="1" t="s">
        <v>37</v>
      </c>
      <c r="C240" s="1" t="s">
        <v>38</v>
      </c>
      <c r="D240">
        <v>2</v>
      </c>
      <c r="E240">
        <v>3</v>
      </c>
      <c r="F240">
        <v>685</v>
      </c>
      <c r="G240">
        <v>417101</v>
      </c>
      <c r="H240">
        <v>402420</v>
      </c>
      <c r="I240" s="2">
        <v>45300</v>
      </c>
      <c r="J240" s="2">
        <v>45376</v>
      </c>
      <c r="K240">
        <v>76</v>
      </c>
      <c r="L240" s="1" t="s">
        <v>53</v>
      </c>
      <c r="M240" s="1" t="s">
        <v>24</v>
      </c>
      <c r="N240">
        <v>0.05</v>
      </c>
      <c r="O240">
        <v>20121</v>
      </c>
    </row>
    <row r="241" spans="1:15" x14ac:dyDescent="0.3">
      <c r="A241" s="1" t="s">
        <v>279</v>
      </c>
      <c r="B241" s="1" t="s">
        <v>26</v>
      </c>
      <c r="C241" s="1" t="s">
        <v>35</v>
      </c>
      <c r="D241">
        <v>5</v>
      </c>
      <c r="E241">
        <v>2</v>
      </c>
      <c r="F241">
        <v>890</v>
      </c>
      <c r="G241">
        <v>655806</v>
      </c>
      <c r="H241">
        <v>636069</v>
      </c>
      <c r="I241" s="2">
        <v>45460</v>
      </c>
      <c r="J241" s="2">
        <v>45491</v>
      </c>
      <c r="K241">
        <v>31</v>
      </c>
      <c r="L241" s="1" t="s">
        <v>27</v>
      </c>
      <c r="M241" s="1" t="s">
        <v>24</v>
      </c>
      <c r="N241">
        <v>0.04</v>
      </c>
      <c r="O241">
        <v>25442.76</v>
      </c>
    </row>
    <row r="242" spans="1:15" x14ac:dyDescent="0.3">
      <c r="A242" s="1" t="s">
        <v>280</v>
      </c>
      <c r="B242" s="1" t="s">
        <v>32</v>
      </c>
      <c r="C242" s="1" t="s">
        <v>18</v>
      </c>
      <c r="D242">
        <v>3</v>
      </c>
      <c r="E242">
        <v>1</v>
      </c>
      <c r="F242">
        <v>605</v>
      </c>
      <c r="G242">
        <v>1195831</v>
      </c>
      <c r="H242">
        <v>1158235</v>
      </c>
      <c r="I242" s="2">
        <v>45205</v>
      </c>
      <c r="J242" s="2">
        <v>45229</v>
      </c>
      <c r="K242">
        <v>24</v>
      </c>
      <c r="L242" s="1" t="s">
        <v>44</v>
      </c>
      <c r="M242" s="1" t="s">
        <v>24</v>
      </c>
      <c r="N242">
        <v>0.05</v>
      </c>
      <c r="O242">
        <v>57911.75</v>
      </c>
    </row>
    <row r="243" spans="1:15" x14ac:dyDescent="0.3">
      <c r="A243" s="1" t="s">
        <v>281</v>
      </c>
      <c r="B243" s="1" t="s">
        <v>41</v>
      </c>
      <c r="C243" s="1" t="s">
        <v>35</v>
      </c>
      <c r="D243">
        <v>1</v>
      </c>
      <c r="E243">
        <v>4</v>
      </c>
      <c r="F243">
        <v>1486</v>
      </c>
      <c r="G243">
        <v>388956</v>
      </c>
      <c r="H243">
        <v>321085</v>
      </c>
      <c r="I243" s="2">
        <v>45256</v>
      </c>
      <c r="J243" s="2">
        <v>45267</v>
      </c>
      <c r="K243">
        <v>11</v>
      </c>
      <c r="L243" s="1" t="s">
        <v>44</v>
      </c>
      <c r="M243" s="1" t="s">
        <v>20</v>
      </c>
      <c r="N243">
        <v>4.4999999999999998E-2</v>
      </c>
      <c r="O243">
        <v>14448.82</v>
      </c>
    </row>
    <row r="244" spans="1:15" x14ac:dyDescent="0.3">
      <c r="A244" s="1" t="s">
        <v>282</v>
      </c>
      <c r="B244" s="1" t="s">
        <v>17</v>
      </c>
      <c r="C244" s="1" t="s">
        <v>23</v>
      </c>
      <c r="D244">
        <v>2</v>
      </c>
      <c r="E244">
        <v>2</v>
      </c>
      <c r="F244">
        <v>505</v>
      </c>
      <c r="G244">
        <v>1056270</v>
      </c>
      <c r="H244">
        <v>983647</v>
      </c>
      <c r="I244" s="2">
        <v>45577</v>
      </c>
      <c r="J244" s="2">
        <v>45655</v>
      </c>
      <c r="K244">
        <v>78</v>
      </c>
      <c r="L244" s="1" t="s">
        <v>44</v>
      </c>
      <c r="M244" s="1" t="s">
        <v>24</v>
      </c>
      <c r="N244">
        <v>4.4999999999999998E-2</v>
      </c>
      <c r="O244">
        <v>44264.11</v>
      </c>
    </row>
    <row r="245" spans="1:15" x14ac:dyDescent="0.3">
      <c r="A245" s="1" t="s">
        <v>283</v>
      </c>
      <c r="B245" s="1" t="s">
        <v>17</v>
      </c>
      <c r="C245" s="1" t="s">
        <v>23</v>
      </c>
      <c r="D245">
        <v>1</v>
      </c>
      <c r="E245">
        <v>4</v>
      </c>
      <c r="F245">
        <v>693</v>
      </c>
      <c r="G245">
        <v>1021812</v>
      </c>
      <c r="H245">
        <v>1011772</v>
      </c>
      <c r="I245" s="2">
        <v>45022</v>
      </c>
      <c r="J245" s="2">
        <v>45087</v>
      </c>
      <c r="K245">
        <v>65</v>
      </c>
      <c r="L245" s="1" t="s">
        <v>39</v>
      </c>
      <c r="M245" s="1" t="s">
        <v>28</v>
      </c>
      <c r="N245">
        <v>0.05</v>
      </c>
      <c r="O245">
        <v>50588.6</v>
      </c>
    </row>
    <row r="246" spans="1:15" x14ac:dyDescent="0.3">
      <c r="A246" s="1" t="s">
        <v>284</v>
      </c>
      <c r="B246" s="1" t="s">
        <v>48</v>
      </c>
      <c r="C246" s="1" t="s">
        <v>38</v>
      </c>
      <c r="D246">
        <v>1</v>
      </c>
      <c r="E246">
        <v>4</v>
      </c>
      <c r="F246">
        <v>2034</v>
      </c>
      <c r="G246">
        <v>1610267</v>
      </c>
      <c r="H246">
        <v>1590807</v>
      </c>
      <c r="I246" s="2">
        <v>45228</v>
      </c>
      <c r="J246" s="2">
        <v>45318</v>
      </c>
      <c r="K246">
        <v>90</v>
      </c>
      <c r="L246" s="1" t="s">
        <v>53</v>
      </c>
      <c r="M246" s="1" t="s">
        <v>28</v>
      </c>
      <c r="N246">
        <v>0.05</v>
      </c>
      <c r="O246">
        <v>79540.350000000006</v>
      </c>
    </row>
    <row r="247" spans="1:15" x14ac:dyDescent="0.3">
      <c r="A247" s="1" t="s">
        <v>285</v>
      </c>
      <c r="B247" s="1" t="s">
        <v>17</v>
      </c>
      <c r="C247" s="1" t="s">
        <v>18</v>
      </c>
      <c r="D247">
        <v>5</v>
      </c>
      <c r="E247">
        <v>1</v>
      </c>
      <c r="F247">
        <v>1347</v>
      </c>
      <c r="G247">
        <v>1511008</v>
      </c>
      <c r="H247">
        <v>1504515</v>
      </c>
      <c r="I247" s="2">
        <v>44938</v>
      </c>
      <c r="J247" s="2">
        <v>44998</v>
      </c>
      <c r="K247">
        <v>60</v>
      </c>
      <c r="L247" s="1" t="s">
        <v>51</v>
      </c>
      <c r="M247" s="1" t="s">
        <v>20</v>
      </c>
      <c r="N247">
        <v>4.4999999999999998E-2</v>
      </c>
      <c r="O247">
        <v>67703.179999999993</v>
      </c>
    </row>
    <row r="248" spans="1:15" x14ac:dyDescent="0.3">
      <c r="A248" s="1" t="s">
        <v>286</v>
      </c>
      <c r="B248" s="1" t="s">
        <v>59</v>
      </c>
      <c r="C248" s="1" t="s">
        <v>35</v>
      </c>
      <c r="D248">
        <v>2</v>
      </c>
      <c r="E248">
        <v>2</v>
      </c>
      <c r="F248">
        <v>2501</v>
      </c>
      <c r="G248">
        <v>1730192</v>
      </c>
      <c r="H248">
        <v>1689557</v>
      </c>
      <c r="I248" s="2">
        <v>45554</v>
      </c>
      <c r="J248" s="2">
        <v>45618</v>
      </c>
      <c r="K248">
        <v>64</v>
      </c>
      <c r="L248" s="1" t="s">
        <v>42</v>
      </c>
      <c r="M248" s="1" t="s">
        <v>24</v>
      </c>
      <c r="N248">
        <v>0.04</v>
      </c>
      <c r="O248">
        <v>67582.28</v>
      </c>
    </row>
    <row r="249" spans="1:15" x14ac:dyDescent="0.3">
      <c r="A249" s="1" t="s">
        <v>287</v>
      </c>
      <c r="B249" s="1" t="s">
        <v>48</v>
      </c>
      <c r="C249" s="1" t="s">
        <v>33</v>
      </c>
      <c r="D249">
        <v>3</v>
      </c>
      <c r="E249">
        <v>3</v>
      </c>
      <c r="F249">
        <v>3063</v>
      </c>
      <c r="G249">
        <v>1336248</v>
      </c>
      <c r="H249">
        <v>1332984</v>
      </c>
      <c r="I249" s="2">
        <v>45048</v>
      </c>
      <c r="J249" s="2">
        <v>45095</v>
      </c>
      <c r="K249">
        <v>47</v>
      </c>
      <c r="L249" s="1" t="s">
        <v>19</v>
      </c>
      <c r="M249" s="1" t="s">
        <v>20</v>
      </c>
      <c r="N249">
        <v>4.4999999999999998E-2</v>
      </c>
      <c r="O249">
        <v>59984.28</v>
      </c>
    </row>
    <row r="250" spans="1:15" x14ac:dyDescent="0.3">
      <c r="A250" s="1" t="s">
        <v>288</v>
      </c>
      <c r="B250" s="1" t="s">
        <v>37</v>
      </c>
      <c r="C250" s="1" t="s">
        <v>18</v>
      </c>
      <c r="D250">
        <v>1</v>
      </c>
      <c r="E250">
        <v>2</v>
      </c>
      <c r="F250">
        <v>3044</v>
      </c>
      <c r="G250">
        <v>1472251</v>
      </c>
      <c r="H250">
        <v>1400889</v>
      </c>
      <c r="I250" s="2">
        <v>45352</v>
      </c>
      <c r="J250" s="2">
        <v>45386</v>
      </c>
      <c r="K250">
        <v>34</v>
      </c>
      <c r="L250" s="1" t="s">
        <v>53</v>
      </c>
      <c r="M250" s="1" t="s">
        <v>28</v>
      </c>
      <c r="N250">
        <v>4.4999999999999998E-2</v>
      </c>
      <c r="O250">
        <v>63040</v>
      </c>
    </row>
    <row r="251" spans="1:15" x14ac:dyDescent="0.3">
      <c r="A251" s="1" t="s">
        <v>289</v>
      </c>
      <c r="B251" s="1" t="s">
        <v>22</v>
      </c>
      <c r="C251" s="1" t="s">
        <v>23</v>
      </c>
      <c r="D251">
        <v>3</v>
      </c>
      <c r="E251">
        <v>4</v>
      </c>
      <c r="F251">
        <v>3491</v>
      </c>
      <c r="G251">
        <v>666241</v>
      </c>
      <c r="H251">
        <v>616964</v>
      </c>
      <c r="I251" s="2">
        <v>45599</v>
      </c>
      <c r="J251" s="2">
        <v>45632</v>
      </c>
      <c r="K251">
        <v>33</v>
      </c>
      <c r="L251" s="1" t="s">
        <v>30</v>
      </c>
      <c r="M251" s="1" t="s">
        <v>28</v>
      </c>
      <c r="N251">
        <v>0.04</v>
      </c>
      <c r="O251">
        <v>24678.560000000001</v>
      </c>
    </row>
    <row r="252" spans="1:15" x14ac:dyDescent="0.3">
      <c r="A252" s="1" t="s">
        <v>290</v>
      </c>
      <c r="B252" s="1" t="s">
        <v>26</v>
      </c>
      <c r="C252" s="1" t="s">
        <v>33</v>
      </c>
      <c r="D252">
        <v>5</v>
      </c>
      <c r="E252">
        <v>2</v>
      </c>
      <c r="F252">
        <v>811</v>
      </c>
      <c r="G252">
        <v>1292512</v>
      </c>
      <c r="H252">
        <v>1282683</v>
      </c>
      <c r="I252" s="2">
        <v>45492</v>
      </c>
      <c r="J252" s="2">
        <v>45577</v>
      </c>
      <c r="K252">
        <v>85</v>
      </c>
      <c r="L252" s="1" t="s">
        <v>19</v>
      </c>
      <c r="M252" s="1" t="s">
        <v>20</v>
      </c>
      <c r="N252">
        <v>0.05</v>
      </c>
      <c r="O252">
        <v>64134.15</v>
      </c>
    </row>
    <row r="253" spans="1:15" x14ac:dyDescent="0.3">
      <c r="A253" s="1" t="s">
        <v>291</v>
      </c>
      <c r="B253" s="1" t="s">
        <v>48</v>
      </c>
      <c r="C253" s="1" t="s">
        <v>35</v>
      </c>
      <c r="D253">
        <v>2</v>
      </c>
      <c r="E253">
        <v>4</v>
      </c>
      <c r="F253">
        <v>661</v>
      </c>
      <c r="G253">
        <v>942839</v>
      </c>
      <c r="H253">
        <v>932185</v>
      </c>
      <c r="I253" s="2">
        <v>45192</v>
      </c>
      <c r="J253" s="2">
        <v>45233</v>
      </c>
      <c r="K253">
        <v>41</v>
      </c>
      <c r="L253" s="1" t="s">
        <v>53</v>
      </c>
      <c r="M253" s="1" t="s">
        <v>20</v>
      </c>
      <c r="N253">
        <v>0.04</v>
      </c>
      <c r="O253">
        <v>37287.4</v>
      </c>
    </row>
    <row r="254" spans="1:15" x14ac:dyDescent="0.3">
      <c r="A254" s="1" t="s">
        <v>292</v>
      </c>
      <c r="B254" s="1" t="s">
        <v>32</v>
      </c>
      <c r="C254" s="1" t="s">
        <v>38</v>
      </c>
      <c r="D254">
        <v>2</v>
      </c>
      <c r="E254">
        <v>2</v>
      </c>
      <c r="F254">
        <v>2924</v>
      </c>
      <c r="G254">
        <v>1797921</v>
      </c>
      <c r="H254">
        <v>1767158</v>
      </c>
      <c r="I254" s="2">
        <v>45002</v>
      </c>
      <c r="J254" s="2">
        <v>45041</v>
      </c>
      <c r="K254">
        <v>39</v>
      </c>
      <c r="L254" s="1" t="s">
        <v>19</v>
      </c>
      <c r="M254" s="1" t="s">
        <v>20</v>
      </c>
      <c r="N254">
        <v>0.05</v>
      </c>
      <c r="O254">
        <v>88357.9</v>
      </c>
    </row>
    <row r="255" spans="1:15" x14ac:dyDescent="0.3">
      <c r="A255" s="1" t="s">
        <v>293</v>
      </c>
      <c r="B255" s="1" t="s">
        <v>37</v>
      </c>
      <c r="C255" s="1" t="s">
        <v>35</v>
      </c>
      <c r="D255">
        <v>4</v>
      </c>
      <c r="E255">
        <v>1</v>
      </c>
      <c r="F255">
        <v>2105</v>
      </c>
      <c r="G255">
        <v>1448281</v>
      </c>
      <c r="H255">
        <v>1432874</v>
      </c>
      <c r="I255" s="2">
        <v>45003</v>
      </c>
      <c r="J255" s="2">
        <v>45020</v>
      </c>
      <c r="K255">
        <v>17</v>
      </c>
      <c r="L255" s="1" t="s">
        <v>53</v>
      </c>
      <c r="M255" s="1" t="s">
        <v>20</v>
      </c>
      <c r="N255">
        <v>0.04</v>
      </c>
      <c r="O255">
        <v>57314.96</v>
      </c>
    </row>
    <row r="256" spans="1:15" x14ac:dyDescent="0.3">
      <c r="A256" s="1" t="s">
        <v>294</v>
      </c>
      <c r="B256" s="1" t="s">
        <v>32</v>
      </c>
      <c r="C256" s="1" t="s">
        <v>38</v>
      </c>
      <c r="D256">
        <v>3</v>
      </c>
      <c r="E256">
        <v>3</v>
      </c>
      <c r="F256">
        <v>1303</v>
      </c>
      <c r="G256">
        <v>772294</v>
      </c>
      <c r="H256">
        <v>727376</v>
      </c>
      <c r="I256" s="2">
        <v>45440</v>
      </c>
      <c r="J256" s="2">
        <v>45478</v>
      </c>
      <c r="K256">
        <v>38</v>
      </c>
      <c r="L256" s="1" t="s">
        <v>51</v>
      </c>
      <c r="M256" s="1" t="s">
        <v>28</v>
      </c>
      <c r="N256">
        <v>0.05</v>
      </c>
      <c r="O256">
        <v>36368.800000000003</v>
      </c>
    </row>
    <row r="257" spans="1:15" x14ac:dyDescent="0.3">
      <c r="A257" s="1" t="s">
        <v>295</v>
      </c>
      <c r="B257" s="1" t="s">
        <v>48</v>
      </c>
      <c r="C257" s="1" t="s">
        <v>33</v>
      </c>
      <c r="D257">
        <v>5</v>
      </c>
      <c r="E257">
        <v>1</v>
      </c>
      <c r="F257">
        <v>1533</v>
      </c>
      <c r="G257">
        <v>372120</v>
      </c>
      <c r="H257">
        <v>316908</v>
      </c>
      <c r="I257" s="2">
        <v>45120</v>
      </c>
      <c r="J257" s="2">
        <v>45209</v>
      </c>
      <c r="K257">
        <v>89</v>
      </c>
      <c r="L257" s="1" t="s">
        <v>42</v>
      </c>
      <c r="M257" s="1" t="s">
        <v>24</v>
      </c>
      <c r="N257">
        <v>4.4999999999999998E-2</v>
      </c>
      <c r="O257">
        <v>14260.86</v>
      </c>
    </row>
    <row r="258" spans="1:15" x14ac:dyDescent="0.3">
      <c r="A258" s="1" t="s">
        <v>296</v>
      </c>
      <c r="B258" s="1" t="s">
        <v>41</v>
      </c>
      <c r="C258" s="1" t="s">
        <v>23</v>
      </c>
      <c r="D258">
        <v>4</v>
      </c>
      <c r="E258">
        <v>4</v>
      </c>
      <c r="F258">
        <v>3409</v>
      </c>
      <c r="G258">
        <v>504505</v>
      </c>
      <c r="H258">
        <v>463431</v>
      </c>
      <c r="I258" s="2">
        <v>45352</v>
      </c>
      <c r="J258" s="2">
        <v>45381</v>
      </c>
      <c r="K258">
        <v>29</v>
      </c>
      <c r="L258" s="1" t="s">
        <v>39</v>
      </c>
      <c r="M258" s="1" t="s">
        <v>20</v>
      </c>
      <c r="N258">
        <v>0.05</v>
      </c>
      <c r="O258">
        <v>23171.55</v>
      </c>
    </row>
    <row r="259" spans="1:15" x14ac:dyDescent="0.3">
      <c r="A259" s="1" t="s">
        <v>297</v>
      </c>
      <c r="B259" s="1" t="s">
        <v>26</v>
      </c>
      <c r="C259" s="1" t="s">
        <v>23</v>
      </c>
      <c r="D259">
        <v>5</v>
      </c>
      <c r="E259">
        <v>1</v>
      </c>
      <c r="F259">
        <v>3366</v>
      </c>
      <c r="G259">
        <v>577756</v>
      </c>
      <c r="H259">
        <v>533688</v>
      </c>
      <c r="I259" s="2">
        <v>45207</v>
      </c>
      <c r="J259" s="2">
        <v>45230</v>
      </c>
      <c r="K259">
        <v>23</v>
      </c>
      <c r="L259" s="1" t="s">
        <v>44</v>
      </c>
      <c r="M259" s="1" t="s">
        <v>20</v>
      </c>
      <c r="N259">
        <v>4.4999999999999998E-2</v>
      </c>
      <c r="O259">
        <v>24015.96</v>
      </c>
    </row>
    <row r="260" spans="1:15" x14ac:dyDescent="0.3">
      <c r="A260" s="1" t="s">
        <v>298</v>
      </c>
      <c r="B260" s="1" t="s">
        <v>48</v>
      </c>
      <c r="C260" s="1" t="s">
        <v>38</v>
      </c>
      <c r="D260">
        <v>4</v>
      </c>
      <c r="E260">
        <v>3</v>
      </c>
      <c r="F260">
        <v>767</v>
      </c>
      <c r="G260">
        <v>1717700</v>
      </c>
      <c r="H260">
        <v>1702013</v>
      </c>
      <c r="I260" s="2">
        <v>45317</v>
      </c>
      <c r="J260" s="2">
        <v>45388</v>
      </c>
      <c r="K260">
        <v>71</v>
      </c>
      <c r="L260" s="1" t="s">
        <v>51</v>
      </c>
      <c r="M260" s="1" t="s">
        <v>20</v>
      </c>
      <c r="N260">
        <v>4.4999999999999998E-2</v>
      </c>
      <c r="O260">
        <v>76590.58</v>
      </c>
    </row>
    <row r="261" spans="1:15" x14ac:dyDescent="0.3">
      <c r="A261" s="1" t="s">
        <v>299</v>
      </c>
      <c r="B261" s="1" t="s">
        <v>32</v>
      </c>
      <c r="C261" s="1" t="s">
        <v>33</v>
      </c>
      <c r="D261">
        <v>1</v>
      </c>
      <c r="E261">
        <v>2</v>
      </c>
      <c r="F261">
        <v>2950</v>
      </c>
      <c r="G261">
        <v>579488</v>
      </c>
      <c r="H261">
        <v>504795</v>
      </c>
      <c r="I261" s="2">
        <v>45419</v>
      </c>
      <c r="J261" s="2">
        <v>45506</v>
      </c>
      <c r="K261">
        <v>87</v>
      </c>
      <c r="L261" s="1" t="s">
        <v>30</v>
      </c>
      <c r="M261" s="1" t="s">
        <v>20</v>
      </c>
      <c r="N261">
        <v>4.4999999999999998E-2</v>
      </c>
      <c r="O261">
        <v>22715.77</v>
      </c>
    </row>
    <row r="262" spans="1:15" x14ac:dyDescent="0.3">
      <c r="A262" s="1" t="s">
        <v>300</v>
      </c>
      <c r="B262" s="1" t="s">
        <v>26</v>
      </c>
      <c r="C262" s="1" t="s">
        <v>33</v>
      </c>
      <c r="D262">
        <v>1</v>
      </c>
      <c r="E262">
        <v>2</v>
      </c>
      <c r="F262">
        <v>1883</v>
      </c>
      <c r="G262">
        <v>1298345</v>
      </c>
      <c r="H262">
        <v>1235429</v>
      </c>
      <c r="I262" s="2">
        <v>44930</v>
      </c>
      <c r="J262" s="2">
        <v>44944</v>
      </c>
      <c r="K262">
        <v>14</v>
      </c>
      <c r="L262" s="1" t="s">
        <v>30</v>
      </c>
      <c r="M262" s="1" t="s">
        <v>24</v>
      </c>
      <c r="N262">
        <v>4.4999999999999998E-2</v>
      </c>
      <c r="O262">
        <v>55594.31</v>
      </c>
    </row>
    <row r="263" spans="1:15" x14ac:dyDescent="0.3">
      <c r="A263" s="1" t="s">
        <v>301</v>
      </c>
      <c r="B263" s="1" t="s">
        <v>17</v>
      </c>
      <c r="C263" s="1" t="s">
        <v>35</v>
      </c>
      <c r="D263">
        <v>1</v>
      </c>
      <c r="E263">
        <v>1</v>
      </c>
      <c r="F263">
        <v>1949</v>
      </c>
      <c r="G263">
        <v>1477508</v>
      </c>
      <c r="H263">
        <v>1452537</v>
      </c>
      <c r="I263" s="2">
        <v>44963</v>
      </c>
      <c r="J263" s="2">
        <v>45004</v>
      </c>
      <c r="K263">
        <v>41</v>
      </c>
      <c r="L263" s="1" t="s">
        <v>42</v>
      </c>
      <c r="M263" s="1" t="s">
        <v>28</v>
      </c>
      <c r="N263">
        <v>0.04</v>
      </c>
      <c r="O263">
        <v>58101.48</v>
      </c>
    </row>
    <row r="264" spans="1:15" x14ac:dyDescent="0.3">
      <c r="A264" s="1" t="s">
        <v>302</v>
      </c>
      <c r="B264" s="1" t="s">
        <v>32</v>
      </c>
      <c r="C264" s="1" t="s">
        <v>33</v>
      </c>
      <c r="D264">
        <v>4</v>
      </c>
      <c r="E264">
        <v>3</v>
      </c>
      <c r="F264">
        <v>1211</v>
      </c>
      <c r="G264">
        <v>1134865</v>
      </c>
      <c r="H264">
        <v>1087999</v>
      </c>
      <c r="I264" s="2">
        <v>45600</v>
      </c>
      <c r="J264" s="2">
        <v>45644</v>
      </c>
      <c r="K264">
        <v>44</v>
      </c>
      <c r="L264" s="1" t="s">
        <v>19</v>
      </c>
      <c r="M264" s="1" t="s">
        <v>24</v>
      </c>
      <c r="N264">
        <v>0.04</v>
      </c>
      <c r="O264">
        <v>43519.96</v>
      </c>
    </row>
    <row r="265" spans="1:15" x14ac:dyDescent="0.3">
      <c r="A265" s="1" t="s">
        <v>303</v>
      </c>
      <c r="B265" s="1" t="s">
        <v>41</v>
      </c>
      <c r="C265" s="1" t="s">
        <v>23</v>
      </c>
      <c r="D265">
        <v>4</v>
      </c>
      <c r="E265">
        <v>1</v>
      </c>
      <c r="F265">
        <v>3328</v>
      </c>
      <c r="G265">
        <v>890389</v>
      </c>
      <c r="H265">
        <v>878353</v>
      </c>
      <c r="I265" s="2">
        <v>45589</v>
      </c>
      <c r="J265" s="2">
        <v>45655</v>
      </c>
      <c r="K265">
        <v>66</v>
      </c>
      <c r="L265" s="1" t="s">
        <v>44</v>
      </c>
      <c r="M265" s="1" t="s">
        <v>20</v>
      </c>
      <c r="N265">
        <v>0.04</v>
      </c>
      <c r="O265">
        <v>35134.120000000003</v>
      </c>
    </row>
    <row r="266" spans="1:15" x14ac:dyDescent="0.3">
      <c r="A266" s="1" t="s">
        <v>304</v>
      </c>
      <c r="B266" s="1" t="s">
        <v>26</v>
      </c>
      <c r="C266" s="1" t="s">
        <v>33</v>
      </c>
      <c r="D266">
        <v>5</v>
      </c>
      <c r="E266">
        <v>4</v>
      </c>
      <c r="F266">
        <v>1272</v>
      </c>
      <c r="G266">
        <v>391302</v>
      </c>
      <c r="H266">
        <v>338660</v>
      </c>
      <c r="I266" s="2">
        <v>45220</v>
      </c>
      <c r="J266" s="2">
        <v>45242</v>
      </c>
      <c r="K266">
        <v>22</v>
      </c>
      <c r="L266" s="1" t="s">
        <v>39</v>
      </c>
      <c r="M266" s="1" t="s">
        <v>20</v>
      </c>
      <c r="N266">
        <v>0.04</v>
      </c>
      <c r="O266">
        <v>13546.4</v>
      </c>
    </row>
    <row r="267" spans="1:15" x14ac:dyDescent="0.3">
      <c r="A267" s="1" t="s">
        <v>305</v>
      </c>
      <c r="B267" s="1" t="s">
        <v>22</v>
      </c>
      <c r="C267" s="1" t="s">
        <v>38</v>
      </c>
      <c r="D267">
        <v>3</v>
      </c>
      <c r="E267">
        <v>4</v>
      </c>
      <c r="F267">
        <v>3124</v>
      </c>
      <c r="G267">
        <v>521764</v>
      </c>
      <c r="H267">
        <v>460707</v>
      </c>
      <c r="I267" s="2">
        <v>45050</v>
      </c>
      <c r="J267" s="2">
        <v>45107</v>
      </c>
      <c r="K267">
        <v>57</v>
      </c>
      <c r="L267" s="1" t="s">
        <v>42</v>
      </c>
      <c r="M267" s="1" t="s">
        <v>24</v>
      </c>
      <c r="N267">
        <v>0.04</v>
      </c>
      <c r="O267">
        <v>18428.28</v>
      </c>
    </row>
    <row r="268" spans="1:15" x14ac:dyDescent="0.3">
      <c r="A268" s="1" t="s">
        <v>306</v>
      </c>
      <c r="B268" s="1" t="s">
        <v>26</v>
      </c>
      <c r="C268" s="1" t="s">
        <v>33</v>
      </c>
      <c r="D268">
        <v>4</v>
      </c>
      <c r="E268">
        <v>1</v>
      </c>
      <c r="F268">
        <v>2784</v>
      </c>
      <c r="G268">
        <v>958995</v>
      </c>
      <c r="H268">
        <v>937399</v>
      </c>
      <c r="I268" s="2">
        <v>45323</v>
      </c>
      <c r="J268" s="2">
        <v>45408</v>
      </c>
      <c r="K268">
        <v>85</v>
      </c>
      <c r="L268" s="1" t="s">
        <v>27</v>
      </c>
      <c r="M268" s="1" t="s">
        <v>20</v>
      </c>
      <c r="N268">
        <v>0.05</v>
      </c>
      <c r="O268">
        <v>46869.95</v>
      </c>
    </row>
    <row r="269" spans="1:15" x14ac:dyDescent="0.3">
      <c r="A269" s="1" t="s">
        <v>307</v>
      </c>
      <c r="B269" s="1" t="s">
        <v>41</v>
      </c>
      <c r="C269" s="1" t="s">
        <v>33</v>
      </c>
      <c r="D269">
        <v>2</v>
      </c>
      <c r="E269">
        <v>4</v>
      </c>
      <c r="F269">
        <v>3289</v>
      </c>
      <c r="G269">
        <v>1481158</v>
      </c>
      <c r="H269">
        <v>1403153</v>
      </c>
      <c r="I269" s="2">
        <v>45124</v>
      </c>
      <c r="J269" s="2">
        <v>45201</v>
      </c>
      <c r="K269">
        <v>77</v>
      </c>
      <c r="L269" s="1" t="s">
        <v>53</v>
      </c>
      <c r="M269" s="1" t="s">
        <v>24</v>
      </c>
      <c r="N269">
        <v>0.04</v>
      </c>
      <c r="O269">
        <v>56126.12</v>
      </c>
    </row>
    <row r="270" spans="1:15" x14ac:dyDescent="0.3">
      <c r="A270" s="1" t="s">
        <v>308</v>
      </c>
      <c r="B270" s="1" t="s">
        <v>59</v>
      </c>
      <c r="C270" s="1" t="s">
        <v>18</v>
      </c>
      <c r="D270">
        <v>1</v>
      </c>
      <c r="E270">
        <v>1</v>
      </c>
      <c r="F270">
        <v>1160</v>
      </c>
      <c r="G270">
        <v>1395617</v>
      </c>
      <c r="H270">
        <v>1391881</v>
      </c>
      <c r="I270" s="2">
        <v>44957</v>
      </c>
      <c r="J270" s="2">
        <v>44977</v>
      </c>
      <c r="K270">
        <v>20</v>
      </c>
      <c r="L270" s="1" t="s">
        <v>51</v>
      </c>
      <c r="M270" s="1" t="s">
        <v>28</v>
      </c>
      <c r="N270">
        <v>0.04</v>
      </c>
      <c r="O270">
        <v>55675.24</v>
      </c>
    </row>
    <row r="271" spans="1:15" x14ac:dyDescent="0.3">
      <c r="A271" s="1" t="s">
        <v>309</v>
      </c>
      <c r="B271" s="1" t="s">
        <v>17</v>
      </c>
      <c r="C271" s="1" t="s">
        <v>33</v>
      </c>
      <c r="D271">
        <v>3</v>
      </c>
      <c r="E271">
        <v>2</v>
      </c>
      <c r="F271">
        <v>1697</v>
      </c>
      <c r="G271">
        <v>1419414</v>
      </c>
      <c r="H271">
        <v>1345020</v>
      </c>
      <c r="I271" s="2">
        <v>45368</v>
      </c>
      <c r="J271" s="2">
        <v>45384</v>
      </c>
      <c r="K271">
        <v>16</v>
      </c>
      <c r="L271" s="1" t="s">
        <v>39</v>
      </c>
      <c r="M271" s="1" t="s">
        <v>20</v>
      </c>
      <c r="N271">
        <v>4.4999999999999998E-2</v>
      </c>
      <c r="O271">
        <v>60525.9</v>
      </c>
    </row>
    <row r="272" spans="1:15" x14ac:dyDescent="0.3">
      <c r="A272" s="1" t="s">
        <v>310</v>
      </c>
      <c r="B272" s="1" t="s">
        <v>32</v>
      </c>
      <c r="C272" s="1" t="s">
        <v>23</v>
      </c>
      <c r="D272">
        <v>4</v>
      </c>
      <c r="E272">
        <v>2</v>
      </c>
      <c r="F272">
        <v>3131</v>
      </c>
      <c r="G272">
        <v>1151481</v>
      </c>
      <c r="H272">
        <v>1093230</v>
      </c>
      <c r="I272" s="2">
        <v>45326</v>
      </c>
      <c r="J272" s="2">
        <v>45406</v>
      </c>
      <c r="K272">
        <v>80</v>
      </c>
      <c r="L272" s="1" t="s">
        <v>42</v>
      </c>
      <c r="M272" s="1" t="s">
        <v>24</v>
      </c>
      <c r="N272">
        <v>0.04</v>
      </c>
      <c r="O272">
        <v>43729.2</v>
      </c>
    </row>
    <row r="273" spans="1:15" x14ac:dyDescent="0.3">
      <c r="A273" s="1" t="s">
        <v>311</v>
      </c>
      <c r="B273" s="1" t="s">
        <v>26</v>
      </c>
      <c r="C273" s="1" t="s">
        <v>18</v>
      </c>
      <c r="D273">
        <v>4</v>
      </c>
      <c r="E273">
        <v>4</v>
      </c>
      <c r="F273">
        <v>2271</v>
      </c>
      <c r="G273">
        <v>414944</v>
      </c>
      <c r="H273">
        <v>374222</v>
      </c>
      <c r="I273" s="2">
        <v>45368</v>
      </c>
      <c r="J273" s="2">
        <v>45445</v>
      </c>
      <c r="K273">
        <v>77</v>
      </c>
      <c r="L273" s="1" t="s">
        <v>27</v>
      </c>
      <c r="M273" s="1" t="s">
        <v>24</v>
      </c>
      <c r="N273">
        <v>0.05</v>
      </c>
      <c r="O273">
        <v>18711.099999999999</v>
      </c>
    </row>
    <row r="274" spans="1:15" x14ac:dyDescent="0.3">
      <c r="A274" s="1" t="s">
        <v>312</v>
      </c>
      <c r="B274" s="1" t="s">
        <v>32</v>
      </c>
      <c r="C274" s="1" t="s">
        <v>38</v>
      </c>
      <c r="D274">
        <v>5</v>
      </c>
      <c r="E274">
        <v>1</v>
      </c>
      <c r="F274">
        <v>3102</v>
      </c>
      <c r="G274">
        <v>1007682</v>
      </c>
      <c r="H274">
        <v>947107</v>
      </c>
      <c r="I274" s="2">
        <v>45222</v>
      </c>
      <c r="J274" s="2">
        <v>45298</v>
      </c>
      <c r="K274">
        <v>76</v>
      </c>
      <c r="L274" s="1" t="s">
        <v>27</v>
      </c>
      <c r="M274" s="1" t="s">
        <v>28</v>
      </c>
      <c r="N274">
        <v>0.04</v>
      </c>
      <c r="O274">
        <v>37884.28</v>
      </c>
    </row>
    <row r="275" spans="1:15" x14ac:dyDescent="0.3">
      <c r="A275" s="1" t="s">
        <v>313</v>
      </c>
      <c r="B275" s="1" t="s">
        <v>37</v>
      </c>
      <c r="C275" s="1" t="s">
        <v>38</v>
      </c>
      <c r="D275">
        <v>5</v>
      </c>
      <c r="E275">
        <v>1</v>
      </c>
      <c r="F275">
        <v>1581</v>
      </c>
      <c r="G275">
        <v>1689734</v>
      </c>
      <c r="H275">
        <v>1680667</v>
      </c>
      <c r="I275" s="2">
        <v>45446</v>
      </c>
      <c r="J275" s="2">
        <v>45464</v>
      </c>
      <c r="K275">
        <v>18</v>
      </c>
      <c r="L275" s="1" t="s">
        <v>19</v>
      </c>
      <c r="M275" s="1" t="s">
        <v>28</v>
      </c>
      <c r="N275">
        <v>0.04</v>
      </c>
      <c r="O275">
        <v>67226.679999999993</v>
      </c>
    </row>
    <row r="276" spans="1:15" x14ac:dyDescent="0.3">
      <c r="A276" s="1" t="s">
        <v>314</v>
      </c>
      <c r="B276" s="1" t="s">
        <v>22</v>
      </c>
      <c r="C276" s="1" t="s">
        <v>35</v>
      </c>
      <c r="D276">
        <v>5</v>
      </c>
      <c r="E276">
        <v>1</v>
      </c>
      <c r="F276">
        <v>2757</v>
      </c>
      <c r="G276">
        <v>1549832</v>
      </c>
      <c r="H276">
        <v>1483796</v>
      </c>
      <c r="I276" s="2">
        <v>45498</v>
      </c>
      <c r="J276" s="2">
        <v>45587</v>
      </c>
      <c r="K276">
        <v>89</v>
      </c>
      <c r="L276" s="1" t="s">
        <v>19</v>
      </c>
      <c r="M276" s="1" t="s">
        <v>20</v>
      </c>
      <c r="N276">
        <v>0.05</v>
      </c>
      <c r="O276">
        <v>74189.8</v>
      </c>
    </row>
    <row r="277" spans="1:15" x14ac:dyDescent="0.3">
      <c r="A277" s="1" t="s">
        <v>315</v>
      </c>
      <c r="B277" s="1" t="s">
        <v>37</v>
      </c>
      <c r="C277" s="1" t="s">
        <v>35</v>
      </c>
      <c r="D277">
        <v>1</v>
      </c>
      <c r="E277">
        <v>1</v>
      </c>
      <c r="F277">
        <v>627</v>
      </c>
      <c r="G277">
        <v>1572106</v>
      </c>
      <c r="H277">
        <v>1566031</v>
      </c>
      <c r="I277" s="2">
        <v>45140</v>
      </c>
      <c r="J277" s="2">
        <v>45179</v>
      </c>
      <c r="K277">
        <v>39</v>
      </c>
      <c r="L277" s="1" t="s">
        <v>51</v>
      </c>
      <c r="M277" s="1" t="s">
        <v>20</v>
      </c>
      <c r="N277">
        <v>0.05</v>
      </c>
      <c r="O277">
        <v>78301.55</v>
      </c>
    </row>
    <row r="278" spans="1:15" x14ac:dyDescent="0.3">
      <c r="A278" s="1" t="s">
        <v>316</v>
      </c>
      <c r="B278" s="1" t="s">
        <v>59</v>
      </c>
      <c r="C278" s="1" t="s">
        <v>35</v>
      </c>
      <c r="D278">
        <v>5</v>
      </c>
      <c r="E278">
        <v>1</v>
      </c>
      <c r="F278">
        <v>2879</v>
      </c>
      <c r="G278">
        <v>1771357</v>
      </c>
      <c r="H278">
        <v>1693428</v>
      </c>
      <c r="I278" s="2">
        <v>45070</v>
      </c>
      <c r="J278" s="2">
        <v>45115</v>
      </c>
      <c r="K278">
        <v>45</v>
      </c>
      <c r="L278" s="1" t="s">
        <v>19</v>
      </c>
      <c r="M278" s="1" t="s">
        <v>28</v>
      </c>
      <c r="N278">
        <v>0.05</v>
      </c>
      <c r="O278">
        <v>84671.4</v>
      </c>
    </row>
    <row r="279" spans="1:15" x14ac:dyDescent="0.3">
      <c r="A279" s="1" t="s">
        <v>317</v>
      </c>
      <c r="B279" s="1" t="s">
        <v>48</v>
      </c>
      <c r="C279" s="1" t="s">
        <v>38</v>
      </c>
      <c r="D279">
        <v>5</v>
      </c>
      <c r="E279">
        <v>1</v>
      </c>
      <c r="F279">
        <v>3089</v>
      </c>
      <c r="G279">
        <v>1573330</v>
      </c>
      <c r="H279">
        <v>1557741</v>
      </c>
      <c r="I279" s="2">
        <v>44957</v>
      </c>
      <c r="J279" s="2">
        <v>45024</v>
      </c>
      <c r="K279">
        <v>67</v>
      </c>
      <c r="L279" s="1" t="s">
        <v>53</v>
      </c>
      <c r="M279" s="1" t="s">
        <v>28</v>
      </c>
      <c r="N279">
        <v>4.4999999999999998E-2</v>
      </c>
      <c r="O279">
        <v>70098.350000000006</v>
      </c>
    </row>
    <row r="280" spans="1:15" x14ac:dyDescent="0.3">
      <c r="A280" s="1" t="s">
        <v>318</v>
      </c>
      <c r="B280" s="1" t="s">
        <v>37</v>
      </c>
      <c r="C280" s="1" t="s">
        <v>33</v>
      </c>
      <c r="D280">
        <v>3</v>
      </c>
      <c r="E280">
        <v>2</v>
      </c>
      <c r="F280">
        <v>1270</v>
      </c>
      <c r="G280">
        <v>1354895</v>
      </c>
      <c r="H280">
        <v>1320963</v>
      </c>
      <c r="I280" s="2">
        <v>45146</v>
      </c>
      <c r="J280" s="2">
        <v>45185</v>
      </c>
      <c r="K280">
        <v>39</v>
      </c>
      <c r="L280" s="1" t="s">
        <v>30</v>
      </c>
      <c r="M280" s="1" t="s">
        <v>20</v>
      </c>
      <c r="N280">
        <v>4.4999999999999998E-2</v>
      </c>
      <c r="O280">
        <v>59443.33</v>
      </c>
    </row>
    <row r="281" spans="1:15" x14ac:dyDescent="0.3">
      <c r="A281" s="1" t="s">
        <v>319</v>
      </c>
      <c r="B281" s="1" t="s">
        <v>37</v>
      </c>
      <c r="C281" s="1" t="s">
        <v>18</v>
      </c>
      <c r="D281">
        <v>1</v>
      </c>
      <c r="E281">
        <v>1</v>
      </c>
      <c r="F281">
        <v>3230</v>
      </c>
      <c r="G281">
        <v>1527284</v>
      </c>
      <c r="H281">
        <v>1464981</v>
      </c>
      <c r="I281" s="2">
        <v>45549</v>
      </c>
      <c r="J281" s="2">
        <v>45617</v>
      </c>
      <c r="K281">
        <v>68</v>
      </c>
      <c r="L281" s="1" t="s">
        <v>27</v>
      </c>
      <c r="M281" s="1" t="s">
        <v>28</v>
      </c>
      <c r="N281">
        <v>0.05</v>
      </c>
      <c r="O281">
        <v>73249.05</v>
      </c>
    </row>
    <row r="282" spans="1:15" x14ac:dyDescent="0.3">
      <c r="A282" s="1" t="s">
        <v>320</v>
      </c>
      <c r="B282" s="1" t="s">
        <v>22</v>
      </c>
      <c r="C282" s="1" t="s">
        <v>35</v>
      </c>
      <c r="D282">
        <v>2</v>
      </c>
      <c r="E282">
        <v>1</v>
      </c>
      <c r="F282">
        <v>1702</v>
      </c>
      <c r="G282">
        <v>1480753</v>
      </c>
      <c r="H282">
        <v>1451259</v>
      </c>
      <c r="I282" s="2">
        <v>45476</v>
      </c>
      <c r="J282" s="2">
        <v>45531</v>
      </c>
      <c r="K282">
        <v>55</v>
      </c>
      <c r="L282" s="1" t="s">
        <v>44</v>
      </c>
      <c r="M282" s="1" t="s">
        <v>20</v>
      </c>
      <c r="N282">
        <v>0.05</v>
      </c>
      <c r="O282">
        <v>72562.95</v>
      </c>
    </row>
    <row r="283" spans="1:15" x14ac:dyDescent="0.3">
      <c r="A283" s="1" t="s">
        <v>321</v>
      </c>
      <c r="B283" s="1" t="s">
        <v>48</v>
      </c>
      <c r="C283" s="1" t="s">
        <v>23</v>
      </c>
      <c r="D283">
        <v>3</v>
      </c>
      <c r="E283">
        <v>2</v>
      </c>
      <c r="F283">
        <v>618</v>
      </c>
      <c r="G283">
        <v>1161083</v>
      </c>
      <c r="H283">
        <v>1091610</v>
      </c>
      <c r="I283" s="2">
        <v>45510</v>
      </c>
      <c r="J283" s="2">
        <v>45587</v>
      </c>
      <c r="K283">
        <v>77</v>
      </c>
      <c r="L283" s="1" t="s">
        <v>51</v>
      </c>
      <c r="M283" s="1" t="s">
        <v>28</v>
      </c>
      <c r="N283">
        <v>0.04</v>
      </c>
      <c r="O283">
        <v>43664.4</v>
      </c>
    </row>
    <row r="284" spans="1:15" x14ac:dyDescent="0.3">
      <c r="A284" s="1" t="s">
        <v>322</v>
      </c>
      <c r="B284" s="1" t="s">
        <v>48</v>
      </c>
      <c r="C284" s="1" t="s">
        <v>38</v>
      </c>
      <c r="D284">
        <v>2</v>
      </c>
      <c r="E284">
        <v>1</v>
      </c>
      <c r="F284">
        <v>2462</v>
      </c>
      <c r="G284">
        <v>492904</v>
      </c>
      <c r="H284">
        <v>438225</v>
      </c>
      <c r="I284" s="2">
        <v>45204</v>
      </c>
      <c r="J284" s="2">
        <v>45282</v>
      </c>
      <c r="K284">
        <v>78</v>
      </c>
      <c r="L284" s="1" t="s">
        <v>42</v>
      </c>
      <c r="M284" s="1" t="s">
        <v>24</v>
      </c>
      <c r="N284">
        <v>0.05</v>
      </c>
      <c r="O284">
        <v>21911.25</v>
      </c>
    </row>
    <row r="285" spans="1:15" x14ac:dyDescent="0.3">
      <c r="A285" s="1" t="s">
        <v>323</v>
      </c>
      <c r="B285" s="1" t="s">
        <v>41</v>
      </c>
      <c r="C285" s="1" t="s">
        <v>35</v>
      </c>
      <c r="D285">
        <v>5</v>
      </c>
      <c r="E285">
        <v>1</v>
      </c>
      <c r="F285">
        <v>2783</v>
      </c>
      <c r="G285">
        <v>358298</v>
      </c>
      <c r="H285">
        <v>298536</v>
      </c>
      <c r="I285" s="2">
        <v>45369</v>
      </c>
      <c r="J285" s="2">
        <v>45376</v>
      </c>
      <c r="K285">
        <v>7</v>
      </c>
      <c r="L285" s="1" t="s">
        <v>19</v>
      </c>
      <c r="M285" s="1" t="s">
        <v>28</v>
      </c>
      <c r="N285">
        <v>0.05</v>
      </c>
      <c r="O285">
        <v>14926.8</v>
      </c>
    </row>
    <row r="286" spans="1:15" x14ac:dyDescent="0.3">
      <c r="A286" s="1" t="s">
        <v>324</v>
      </c>
      <c r="B286" s="1" t="s">
        <v>32</v>
      </c>
      <c r="C286" s="1" t="s">
        <v>33</v>
      </c>
      <c r="D286">
        <v>4</v>
      </c>
      <c r="E286">
        <v>4</v>
      </c>
      <c r="F286">
        <v>950</v>
      </c>
      <c r="G286">
        <v>485769</v>
      </c>
      <c r="H286">
        <v>415374</v>
      </c>
      <c r="I286" s="2">
        <v>45105</v>
      </c>
      <c r="J286" s="2">
        <v>45184</v>
      </c>
      <c r="K286">
        <v>79</v>
      </c>
      <c r="L286" s="1" t="s">
        <v>44</v>
      </c>
      <c r="M286" s="1" t="s">
        <v>28</v>
      </c>
      <c r="N286">
        <v>4.4999999999999998E-2</v>
      </c>
      <c r="O286">
        <v>18691.830000000002</v>
      </c>
    </row>
    <row r="287" spans="1:15" x14ac:dyDescent="0.3">
      <c r="A287" s="1" t="s">
        <v>325</v>
      </c>
      <c r="B287" s="1" t="s">
        <v>26</v>
      </c>
      <c r="C287" s="1" t="s">
        <v>35</v>
      </c>
      <c r="D287">
        <v>1</v>
      </c>
      <c r="E287">
        <v>1</v>
      </c>
      <c r="F287">
        <v>2638</v>
      </c>
      <c r="G287">
        <v>1423759</v>
      </c>
      <c r="H287">
        <v>1399629</v>
      </c>
      <c r="I287" s="2">
        <v>45070</v>
      </c>
      <c r="J287" s="2">
        <v>45104</v>
      </c>
      <c r="K287">
        <v>34</v>
      </c>
      <c r="L287" s="1" t="s">
        <v>53</v>
      </c>
      <c r="M287" s="1" t="s">
        <v>20</v>
      </c>
      <c r="N287">
        <v>0.05</v>
      </c>
      <c r="O287">
        <v>69981.45</v>
      </c>
    </row>
    <row r="288" spans="1:15" x14ac:dyDescent="0.3">
      <c r="A288" s="1" t="s">
        <v>326</v>
      </c>
      <c r="B288" s="1" t="s">
        <v>48</v>
      </c>
      <c r="C288" s="1" t="s">
        <v>33</v>
      </c>
      <c r="D288">
        <v>4</v>
      </c>
      <c r="E288">
        <v>2</v>
      </c>
      <c r="F288">
        <v>3044</v>
      </c>
      <c r="G288">
        <v>1138779</v>
      </c>
      <c r="H288">
        <v>1087258</v>
      </c>
      <c r="I288" s="2">
        <v>44966</v>
      </c>
      <c r="J288" s="2">
        <v>44979</v>
      </c>
      <c r="K288">
        <v>13</v>
      </c>
      <c r="L288" s="1" t="s">
        <v>42</v>
      </c>
      <c r="M288" s="1" t="s">
        <v>20</v>
      </c>
      <c r="N288">
        <v>0.04</v>
      </c>
      <c r="O288">
        <v>43490.32</v>
      </c>
    </row>
    <row r="289" spans="1:15" x14ac:dyDescent="0.3">
      <c r="A289" s="1" t="s">
        <v>327</v>
      </c>
      <c r="B289" s="1" t="s">
        <v>17</v>
      </c>
      <c r="C289" s="1" t="s">
        <v>33</v>
      </c>
      <c r="D289">
        <v>4</v>
      </c>
      <c r="E289">
        <v>3</v>
      </c>
      <c r="F289">
        <v>1477</v>
      </c>
      <c r="G289">
        <v>1188241</v>
      </c>
      <c r="H289">
        <v>1140763</v>
      </c>
      <c r="I289" s="2">
        <v>45157</v>
      </c>
      <c r="J289" s="2">
        <v>45184</v>
      </c>
      <c r="K289">
        <v>27</v>
      </c>
      <c r="L289" s="1" t="s">
        <v>51</v>
      </c>
      <c r="M289" s="1" t="s">
        <v>28</v>
      </c>
      <c r="N289">
        <v>0.04</v>
      </c>
      <c r="O289">
        <v>45630.52</v>
      </c>
    </row>
    <row r="290" spans="1:15" x14ac:dyDescent="0.3">
      <c r="A290" s="1" t="s">
        <v>328</v>
      </c>
      <c r="B290" s="1" t="s">
        <v>32</v>
      </c>
      <c r="C290" s="1" t="s">
        <v>35</v>
      </c>
      <c r="D290">
        <v>2</v>
      </c>
      <c r="E290">
        <v>1</v>
      </c>
      <c r="F290">
        <v>2146</v>
      </c>
      <c r="G290">
        <v>1522474</v>
      </c>
      <c r="H290">
        <v>1516293</v>
      </c>
      <c r="I290" s="2">
        <v>45440</v>
      </c>
      <c r="J290" s="2">
        <v>45482</v>
      </c>
      <c r="K290">
        <v>42</v>
      </c>
      <c r="L290" s="1" t="s">
        <v>53</v>
      </c>
      <c r="M290" s="1" t="s">
        <v>24</v>
      </c>
      <c r="N290">
        <v>0.04</v>
      </c>
      <c r="O290">
        <v>60651.72</v>
      </c>
    </row>
    <row r="291" spans="1:15" x14ac:dyDescent="0.3">
      <c r="A291" s="1" t="s">
        <v>329</v>
      </c>
      <c r="B291" s="1" t="s">
        <v>41</v>
      </c>
      <c r="C291" s="1" t="s">
        <v>18</v>
      </c>
      <c r="D291">
        <v>1</v>
      </c>
      <c r="E291">
        <v>2</v>
      </c>
      <c r="F291">
        <v>3455</v>
      </c>
      <c r="G291">
        <v>978044</v>
      </c>
      <c r="H291">
        <v>922556</v>
      </c>
      <c r="I291" s="2">
        <v>44975</v>
      </c>
      <c r="J291" s="2">
        <v>45042</v>
      </c>
      <c r="K291">
        <v>67</v>
      </c>
      <c r="L291" s="1" t="s">
        <v>39</v>
      </c>
      <c r="M291" s="1" t="s">
        <v>24</v>
      </c>
      <c r="N291">
        <v>0.04</v>
      </c>
      <c r="O291">
        <v>36902.239999999998</v>
      </c>
    </row>
    <row r="292" spans="1:15" x14ac:dyDescent="0.3">
      <c r="A292" s="1" t="s">
        <v>330</v>
      </c>
      <c r="B292" s="1" t="s">
        <v>37</v>
      </c>
      <c r="C292" s="1" t="s">
        <v>35</v>
      </c>
      <c r="D292">
        <v>1</v>
      </c>
      <c r="E292">
        <v>4</v>
      </c>
      <c r="F292">
        <v>935</v>
      </c>
      <c r="G292">
        <v>1075711</v>
      </c>
      <c r="H292">
        <v>999390</v>
      </c>
      <c r="I292" s="2">
        <v>45317</v>
      </c>
      <c r="J292" s="2">
        <v>45385</v>
      </c>
      <c r="K292">
        <v>68</v>
      </c>
      <c r="L292" s="1" t="s">
        <v>27</v>
      </c>
      <c r="M292" s="1" t="s">
        <v>24</v>
      </c>
      <c r="N292">
        <v>0.05</v>
      </c>
      <c r="O292">
        <v>49969.5</v>
      </c>
    </row>
    <row r="293" spans="1:15" x14ac:dyDescent="0.3">
      <c r="A293" s="1" t="s">
        <v>331</v>
      </c>
      <c r="B293" s="1" t="s">
        <v>17</v>
      </c>
      <c r="C293" s="1" t="s">
        <v>35</v>
      </c>
      <c r="D293">
        <v>4</v>
      </c>
      <c r="E293">
        <v>2</v>
      </c>
      <c r="F293">
        <v>765</v>
      </c>
      <c r="G293">
        <v>566783</v>
      </c>
      <c r="H293">
        <v>559697</v>
      </c>
      <c r="I293" s="2">
        <v>45336</v>
      </c>
      <c r="J293" s="2">
        <v>45359</v>
      </c>
      <c r="K293">
        <v>23</v>
      </c>
      <c r="L293" s="1" t="s">
        <v>53</v>
      </c>
      <c r="M293" s="1" t="s">
        <v>28</v>
      </c>
      <c r="N293">
        <v>0.04</v>
      </c>
      <c r="O293">
        <v>22387.88</v>
      </c>
    </row>
    <row r="294" spans="1:15" x14ac:dyDescent="0.3">
      <c r="A294" s="1" t="s">
        <v>332</v>
      </c>
      <c r="B294" s="1" t="s">
        <v>37</v>
      </c>
      <c r="C294" s="1" t="s">
        <v>35</v>
      </c>
      <c r="D294">
        <v>5</v>
      </c>
      <c r="E294">
        <v>2</v>
      </c>
      <c r="F294">
        <v>698</v>
      </c>
      <c r="G294">
        <v>413064</v>
      </c>
      <c r="H294">
        <v>394940</v>
      </c>
      <c r="I294" s="2">
        <v>45525</v>
      </c>
      <c r="J294" s="2">
        <v>45561</v>
      </c>
      <c r="K294">
        <v>36</v>
      </c>
      <c r="L294" s="1" t="s">
        <v>39</v>
      </c>
      <c r="M294" s="1" t="s">
        <v>24</v>
      </c>
      <c r="N294">
        <v>0.04</v>
      </c>
      <c r="O294">
        <v>15797.6</v>
      </c>
    </row>
    <row r="295" spans="1:15" x14ac:dyDescent="0.3">
      <c r="A295" s="1" t="s">
        <v>333</v>
      </c>
      <c r="B295" s="1" t="s">
        <v>22</v>
      </c>
      <c r="C295" s="1" t="s">
        <v>18</v>
      </c>
      <c r="D295">
        <v>3</v>
      </c>
      <c r="E295">
        <v>2</v>
      </c>
      <c r="F295">
        <v>2078</v>
      </c>
      <c r="G295">
        <v>1031381</v>
      </c>
      <c r="H295">
        <v>1026831</v>
      </c>
      <c r="I295" s="2">
        <v>44999</v>
      </c>
      <c r="J295" s="2">
        <v>45030</v>
      </c>
      <c r="K295">
        <v>31</v>
      </c>
      <c r="L295" s="1" t="s">
        <v>30</v>
      </c>
      <c r="M295" s="1" t="s">
        <v>24</v>
      </c>
      <c r="N295">
        <v>4.4999999999999998E-2</v>
      </c>
      <c r="O295">
        <v>46207.39</v>
      </c>
    </row>
    <row r="296" spans="1:15" x14ac:dyDescent="0.3">
      <c r="A296" s="1" t="s">
        <v>334</v>
      </c>
      <c r="B296" s="1" t="s">
        <v>22</v>
      </c>
      <c r="C296" s="1" t="s">
        <v>23</v>
      </c>
      <c r="D296">
        <v>3</v>
      </c>
      <c r="E296">
        <v>2</v>
      </c>
      <c r="F296">
        <v>996</v>
      </c>
      <c r="G296">
        <v>802637</v>
      </c>
      <c r="H296">
        <v>731043</v>
      </c>
      <c r="I296" s="2">
        <v>45424</v>
      </c>
      <c r="J296" s="2">
        <v>45467</v>
      </c>
      <c r="K296">
        <v>43</v>
      </c>
      <c r="L296" s="1" t="s">
        <v>27</v>
      </c>
      <c r="M296" s="1" t="s">
        <v>20</v>
      </c>
      <c r="N296">
        <v>0.04</v>
      </c>
      <c r="O296">
        <v>29241.72</v>
      </c>
    </row>
    <row r="297" spans="1:15" x14ac:dyDescent="0.3">
      <c r="A297" s="1" t="s">
        <v>335</v>
      </c>
      <c r="B297" s="1" t="s">
        <v>17</v>
      </c>
      <c r="C297" s="1" t="s">
        <v>18</v>
      </c>
      <c r="D297">
        <v>5</v>
      </c>
      <c r="E297">
        <v>2</v>
      </c>
      <c r="F297">
        <v>2648</v>
      </c>
      <c r="G297">
        <v>1034938</v>
      </c>
      <c r="H297">
        <v>1024855</v>
      </c>
      <c r="I297" s="2">
        <v>45554</v>
      </c>
      <c r="J297" s="2">
        <v>45622</v>
      </c>
      <c r="K297">
        <v>68</v>
      </c>
      <c r="L297" s="1" t="s">
        <v>42</v>
      </c>
      <c r="M297" s="1" t="s">
        <v>28</v>
      </c>
      <c r="N297">
        <v>0.04</v>
      </c>
      <c r="O297">
        <v>40994.199999999997</v>
      </c>
    </row>
    <row r="298" spans="1:15" x14ac:dyDescent="0.3">
      <c r="A298" s="1" t="s">
        <v>336</v>
      </c>
      <c r="B298" s="1" t="s">
        <v>37</v>
      </c>
      <c r="C298" s="1" t="s">
        <v>38</v>
      </c>
      <c r="D298">
        <v>4</v>
      </c>
      <c r="E298">
        <v>2</v>
      </c>
      <c r="F298">
        <v>2797</v>
      </c>
      <c r="G298">
        <v>958843</v>
      </c>
      <c r="H298">
        <v>938473</v>
      </c>
      <c r="I298" s="2">
        <v>45581</v>
      </c>
      <c r="J298" s="2">
        <v>45653</v>
      </c>
      <c r="K298">
        <v>72</v>
      </c>
      <c r="L298" s="1" t="s">
        <v>53</v>
      </c>
      <c r="M298" s="1" t="s">
        <v>24</v>
      </c>
      <c r="N298">
        <v>4.4999999999999998E-2</v>
      </c>
      <c r="O298">
        <v>42231.28</v>
      </c>
    </row>
    <row r="299" spans="1:15" x14ac:dyDescent="0.3">
      <c r="A299" s="1" t="s">
        <v>337</v>
      </c>
      <c r="B299" s="1" t="s">
        <v>59</v>
      </c>
      <c r="C299" s="1" t="s">
        <v>35</v>
      </c>
      <c r="D299">
        <v>1</v>
      </c>
      <c r="E299">
        <v>3</v>
      </c>
      <c r="F299">
        <v>841</v>
      </c>
      <c r="G299">
        <v>1606785</v>
      </c>
      <c r="H299">
        <v>1579646</v>
      </c>
      <c r="I299" s="2">
        <v>45242</v>
      </c>
      <c r="J299" s="2">
        <v>45258</v>
      </c>
      <c r="K299">
        <v>16</v>
      </c>
      <c r="L299" s="1" t="s">
        <v>30</v>
      </c>
      <c r="M299" s="1" t="s">
        <v>20</v>
      </c>
      <c r="N299">
        <v>0.05</v>
      </c>
      <c r="O299">
        <v>78982.3</v>
      </c>
    </row>
    <row r="300" spans="1:15" x14ac:dyDescent="0.3">
      <c r="A300" s="1" t="s">
        <v>338</v>
      </c>
      <c r="B300" s="1" t="s">
        <v>17</v>
      </c>
      <c r="C300" s="1" t="s">
        <v>23</v>
      </c>
      <c r="D300">
        <v>1</v>
      </c>
      <c r="E300">
        <v>4</v>
      </c>
      <c r="F300">
        <v>3084</v>
      </c>
      <c r="G300">
        <v>960291</v>
      </c>
      <c r="H300">
        <v>957705</v>
      </c>
      <c r="I300" s="2">
        <v>45246</v>
      </c>
      <c r="J300" s="2">
        <v>45332</v>
      </c>
      <c r="K300">
        <v>86</v>
      </c>
      <c r="L300" s="1" t="s">
        <v>42</v>
      </c>
      <c r="M300" s="1" t="s">
        <v>24</v>
      </c>
      <c r="N300">
        <v>4.4999999999999998E-2</v>
      </c>
      <c r="O300">
        <v>43096.72</v>
      </c>
    </row>
    <row r="301" spans="1:15" x14ac:dyDescent="0.3">
      <c r="A301" s="1" t="s">
        <v>339</v>
      </c>
      <c r="B301" s="1" t="s">
        <v>32</v>
      </c>
      <c r="C301" s="1" t="s">
        <v>23</v>
      </c>
      <c r="D301">
        <v>3</v>
      </c>
      <c r="E301">
        <v>4</v>
      </c>
      <c r="F301">
        <v>2465</v>
      </c>
      <c r="G301">
        <v>724506</v>
      </c>
      <c r="H301">
        <v>708016</v>
      </c>
      <c r="I301" s="2">
        <v>45280</v>
      </c>
      <c r="J301" s="2">
        <v>45368</v>
      </c>
      <c r="K301">
        <v>88</v>
      </c>
      <c r="L301" s="1" t="s">
        <v>27</v>
      </c>
      <c r="M301" s="1" t="s">
        <v>28</v>
      </c>
      <c r="N301">
        <v>0.04</v>
      </c>
      <c r="O301">
        <v>28320.639999999999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758A-F7F1-4E9A-B65F-11DF7AE32BD0}">
  <dimension ref="A1:W301"/>
  <sheetViews>
    <sheetView tabSelected="1" topLeftCell="K1" workbookViewId="0">
      <selection activeCell="X16" sqref="X16"/>
    </sheetView>
  </sheetViews>
  <sheetFormatPr defaultRowHeight="14.4" x14ac:dyDescent="0.3"/>
  <cols>
    <col min="1" max="1" width="12.88671875" bestFit="1" customWidth="1"/>
    <col min="2" max="2" width="11.21875" bestFit="1" customWidth="1"/>
    <col min="3" max="3" width="15" bestFit="1" customWidth="1"/>
    <col min="4" max="4" width="11.6640625" bestFit="1" customWidth="1"/>
    <col min="5" max="5" width="12.21875" bestFit="1" customWidth="1"/>
    <col min="6" max="6" width="13.5546875" bestFit="1" customWidth="1"/>
    <col min="7" max="7" width="13.77734375" bestFit="1" customWidth="1"/>
    <col min="8" max="8" width="12" bestFit="1" customWidth="1"/>
    <col min="9" max="9" width="10.88671875" bestFit="1" customWidth="1"/>
    <col min="10" max="10" width="11.5546875" bestFit="1" customWidth="1"/>
    <col min="11" max="11" width="16.6640625" bestFit="1" customWidth="1"/>
    <col min="12" max="12" width="14.44140625" bestFit="1" customWidth="1"/>
    <col min="13" max="13" width="8.5546875" bestFit="1" customWidth="1"/>
    <col min="14" max="14" width="18.33203125" bestFit="1" customWidth="1"/>
    <col min="15" max="15" width="20.44140625" bestFit="1" customWidth="1"/>
    <col min="16" max="17" width="15.77734375" bestFit="1" customWidth="1"/>
    <col min="18" max="18" width="19.88671875" style="4" bestFit="1" customWidth="1"/>
    <col min="19" max="19" width="11.77734375" bestFit="1" customWidth="1"/>
    <col min="20" max="20" width="11.33203125" bestFit="1" customWidth="1"/>
    <col min="21" max="21" width="12.77734375" bestFit="1" customWidth="1"/>
    <col min="22" max="22" width="14.5546875" style="2" bestFit="1" customWidth="1"/>
    <col min="23" max="23" width="20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340</v>
      </c>
      <c r="R1" s="4" t="s">
        <v>341</v>
      </c>
      <c r="S1" t="s">
        <v>342</v>
      </c>
      <c r="T1" t="s">
        <v>343</v>
      </c>
      <c r="U1" t="s">
        <v>344</v>
      </c>
      <c r="V1" s="2" t="s">
        <v>345</v>
      </c>
      <c r="W1" t="s">
        <v>346</v>
      </c>
    </row>
    <row r="2" spans="1:23" x14ac:dyDescent="0.3">
      <c r="A2" s="1" t="s">
        <v>16</v>
      </c>
      <c r="B2" s="1" t="s">
        <v>17</v>
      </c>
      <c r="C2" s="1" t="s">
        <v>18</v>
      </c>
      <c r="D2">
        <v>4</v>
      </c>
      <c r="E2">
        <v>2</v>
      </c>
      <c r="F2">
        <v>2622</v>
      </c>
      <c r="G2">
        <v>699922</v>
      </c>
      <c r="H2">
        <v>651856</v>
      </c>
      <c r="I2" s="2">
        <v>45562</v>
      </c>
      <c r="J2" s="2">
        <v>45585</v>
      </c>
      <c r="K2">
        <v>23</v>
      </c>
      <c r="L2" s="1" t="s">
        <v>19</v>
      </c>
      <c r="M2" s="1" t="s">
        <v>20</v>
      </c>
      <c r="N2">
        <v>4.4999999999999998E-2</v>
      </c>
      <c r="O2">
        <v>29333.52</v>
      </c>
      <c r="P2">
        <v>-48066</v>
      </c>
      <c r="Q2" s="3" t="str">
        <f>IF(tbl_sales3[[#This Row],[Sale_Price]]&lt;500000,"Budget",
IF(tbl_sales3[[#This Row],[Sale_Price]]&lt;1000000,"Mid-Range",
"Luxury"))</f>
        <v>Mid-Range</v>
      </c>
      <c r="R2" s="4">
        <f>IFERROR(tbl_sales3[[#This Row],[Sale_Price]]*tbl_sales3[[#This Row],[Commission_Rate]],0)</f>
        <v>29333.52</v>
      </c>
      <c r="S2" t="str">
        <f>IF(ABS(tbl_sales3[[#This Row],[Commission_Earned]]-tbl_sales3[[#This Row],[Calculated_Commission]])&lt;0.02,"Correct","Mismatch")</f>
        <v>Correct</v>
      </c>
      <c r="T2">
        <f>YEAR(tbl_sales3[[#This Row],[Sale_Date]])</f>
        <v>2024</v>
      </c>
      <c r="U2" t="str">
        <f>TEXT(tbl_sales3[[#This Row],[Sale_Date]],"mmmm")</f>
        <v>October</v>
      </c>
      <c r="V2" s="2">
        <f>EOMONTH(tbl_sales3[[#This Row],[Sale_Date]],0)</f>
        <v>45596</v>
      </c>
      <c r="W2" t="str">
        <f>IF(AND(tbl_sales3[[#This Row],[Sale_Price]]&gt;1000000,tbl_sales3[[#This Row],[Days_on_Market]]&lt;30),"High Demand","Normal")</f>
        <v>Normal</v>
      </c>
    </row>
    <row r="3" spans="1:23" x14ac:dyDescent="0.3">
      <c r="A3" s="1" t="s">
        <v>21</v>
      </c>
      <c r="B3" s="1" t="s">
        <v>22</v>
      </c>
      <c r="C3" s="1" t="s">
        <v>23</v>
      </c>
      <c r="D3">
        <v>3</v>
      </c>
      <c r="E3">
        <v>4</v>
      </c>
      <c r="F3">
        <v>2333</v>
      </c>
      <c r="G3">
        <v>762889</v>
      </c>
      <c r="H3">
        <v>696727</v>
      </c>
      <c r="I3" s="2">
        <v>45036</v>
      </c>
      <c r="J3" s="2">
        <v>45052</v>
      </c>
      <c r="K3">
        <v>16</v>
      </c>
      <c r="L3" s="1" t="s">
        <v>19</v>
      </c>
      <c r="M3" s="1" t="s">
        <v>24</v>
      </c>
      <c r="N3">
        <v>0.04</v>
      </c>
      <c r="O3">
        <v>27869.08</v>
      </c>
      <c r="P3">
        <v>-66162</v>
      </c>
      <c r="Q3" t="str">
        <f>IF(tbl_sales3[[#This Row],[Sale_Price]]&lt;500000,"Budget",
IF(tbl_sales3[[#This Row],[Sale_Price]]&lt;1000000,"Mid-Range",
"Luxury"))</f>
        <v>Mid-Range</v>
      </c>
      <c r="R3" s="4">
        <f>IFERROR(tbl_sales3[[#This Row],[Sale_Price]]*tbl_sales3[[#This Row],[Commission_Rate]],0)</f>
        <v>27869.08</v>
      </c>
      <c r="S3" t="str">
        <f>IF(ABS(tbl_sales3[[#This Row],[Commission_Earned]]-tbl_sales3[[#This Row],[Calculated_Commission]])&lt;0.02,"Correct","Mismatch")</f>
        <v>Correct</v>
      </c>
      <c r="T3">
        <f>YEAR(tbl_sales3[[#This Row],[Sale_Date]])</f>
        <v>2023</v>
      </c>
      <c r="U3" s="1" t="str">
        <f>TEXT(tbl_sales3[[#This Row],[Sale_Date]],"mmmm")</f>
        <v>May</v>
      </c>
      <c r="V3" s="2">
        <f>EOMONTH(tbl_sales3[[#This Row],[Sale_Date]],0)</f>
        <v>45077</v>
      </c>
      <c r="W3" s="1" t="str">
        <f>IF(AND(tbl_sales3[[#This Row],[Sale_Price]]&gt;1000000,tbl_sales3[[#This Row],[Days_on_Market]]&lt;30),"High Demand","Normal")</f>
        <v>Normal</v>
      </c>
    </row>
    <row r="4" spans="1:23" x14ac:dyDescent="0.3">
      <c r="A4" s="1" t="s">
        <v>25</v>
      </c>
      <c r="B4" s="1" t="s">
        <v>26</v>
      </c>
      <c r="C4" s="1" t="s">
        <v>18</v>
      </c>
      <c r="D4">
        <v>4</v>
      </c>
      <c r="E4">
        <v>3</v>
      </c>
      <c r="F4">
        <v>2645</v>
      </c>
      <c r="G4">
        <v>1479721</v>
      </c>
      <c r="H4">
        <v>1462549</v>
      </c>
      <c r="I4" s="2">
        <v>45404</v>
      </c>
      <c r="J4" s="2">
        <v>45428</v>
      </c>
      <c r="K4">
        <v>24</v>
      </c>
      <c r="L4" s="1" t="s">
        <v>27</v>
      </c>
      <c r="M4" s="1" t="s">
        <v>28</v>
      </c>
      <c r="N4">
        <v>0.04</v>
      </c>
      <c r="O4">
        <v>58501.96</v>
      </c>
      <c r="P4">
        <v>-17172</v>
      </c>
      <c r="Q4" t="str">
        <f>IF(tbl_sales3[[#This Row],[Sale_Price]]&lt;500000,"Budget",
IF(tbl_sales3[[#This Row],[Sale_Price]]&lt;1000000,"Mid-Range",
"Luxury"))</f>
        <v>Luxury</v>
      </c>
      <c r="R4" s="4">
        <f>IFERROR(tbl_sales3[[#This Row],[Sale_Price]]*tbl_sales3[[#This Row],[Commission_Rate]],0)</f>
        <v>58501.96</v>
      </c>
      <c r="S4" t="str">
        <f>IF(ABS(tbl_sales3[[#This Row],[Commission_Earned]]-tbl_sales3[[#This Row],[Calculated_Commission]])&lt;0.02,"Correct","Mismatch")</f>
        <v>Correct</v>
      </c>
      <c r="T4">
        <f>YEAR(tbl_sales3[[#This Row],[Sale_Date]])</f>
        <v>2024</v>
      </c>
      <c r="U4" s="1" t="str">
        <f>TEXT(tbl_sales3[[#This Row],[Sale_Date]],"mmmm")</f>
        <v>May</v>
      </c>
      <c r="V4" s="2">
        <f>EOMONTH(tbl_sales3[[#This Row],[Sale_Date]],0)</f>
        <v>45443</v>
      </c>
      <c r="W4" s="1" t="str">
        <f>IF(AND(tbl_sales3[[#This Row],[Sale_Price]]&gt;1000000,tbl_sales3[[#This Row],[Days_on_Market]]&lt;30),"High Demand","Normal")</f>
        <v>High Demand</v>
      </c>
    </row>
    <row r="5" spans="1:23" x14ac:dyDescent="0.3">
      <c r="A5" s="1" t="s">
        <v>29</v>
      </c>
      <c r="B5" s="1" t="s">
        <v>26</v>
      </c>
      <c r="C5" s="1" t="s">
        <v>18</v>
      </c>
      <c r="D5">
        <v>4</v>
      </c>
      <c r="E5">
        <v>3</v>
      </c>
      <c r="F5">
        <v>540</v>
      </c>
      <c r="G5">
        <v>1540446</v>
      </c>
      <c r="H5">
        <v>1480985</v>
      </c>
      <c r="I5" s="2">
        <v>45197</v>
      </c>
      <c r="J5" s="2">
        <v>45265</v>
      </c>
      <c r="K5">
        <v>68</v>
      </c>
      <c r="L5" s="1" t="s">
        <v>30</v>
      </c>
      <c r="M5" s="1" t="s">
        <v>28</v>
      </c>
      <c r="N5">
        <v>0.04</v>
      </c>
      <c r="O5">
        <v>59239.4</v>
      </c>
      <c r="P5">
        <v>-59461</v>
      </c>
      <c r="Q5" t="str">
        <f>IF(tbl_sales3[[#This Row],[Sale_Price]]&lt;500000,"Budget",
IF(tbl_sales3[[#This Row],[Sale_Price]]&lt;1000000,"Mid-Range",
"Luxury"))</f>
        <v>Luxury</v>
      </c>
      <c r="R5" s="4">
        <f>IFERROR(tbl_sales3[[#This Row],[Sale_Price]]*tbl_sales3[[#This Row],[Commission_Rate]],0)</f>
        <v>59239.4</v>
      </c>
      <c r="S5" t="str">
        <f>IF(ABS(tbl_sales3[[#This Row],[Commission_Earned]]-tbl_sales3[[#This Row],[Calculated_Commission]])&lt;0.02,"Correct","Mismatch")</f>
        <v>Correct</v>
      </c>
      <c r="T5">
        <f>YEAR(tbl_sales3[[#This Row],[Sale_Date]])</f>
        <v>2023</v>
      </c>
      <c r="U5" s="1" t="str">
        <f>TEXT(tbl_sales3[[#This Row],[Sale_Date]],"mmmm")</f>
        <v>December</v>
      </c>
      <c r="V5" s="2">
        <f>EOMONTH(tbl_sales3[[#This Row],[Sale_Date]],0)</f>
        <v>45291</v>
      </c>
      <c r="W5" s="1" t="str">
        <f>IF(AND(tbl_sales3[[#This Row],[Sale_Price]]&gt;1000000,tbl_sales3[[#This Row],[Days_on_Market]]&lt;30),"High Demand","Normal")</f>
        <v>Normal</v>
      </c>
    </row>
    <row r="6" spans="1:23" x14ac:dyDescent="0.3">
      <c r="A6" s="1" t="s">
        <v>31</v>
      </c>
      <c r="B6" s="1" t="s">
        <v>32</v>
      </c>
      <c r="C6" s="1" t="s">
        <v>33</v>
      </c>
      <c r="D6">
        <v>3</v>
      </c>
      <c r="E6">
        <v>4</v>
      </c>
      <c r="F6">
        <v>3079</v>
      </c>
      <c r="G6">
        <v>1717388</v>
      </c>
      <c r="H6">
        <v>1703806</v>
      </c>
      <c r="I6" s="2">
        <v>45456</v>
      </c>
      <c r="J6" s="2">
        <v>45475</v>
      </c>
      <c r="K6">
        <v>19</v>
      </c>
      <c r="L6" s="1" t="s">
        <v>30</v>
      </c>
      <c r="M6" s="1" t="s">
        <v>24</v>
      </c>
      <c r="N6">
        <v>0.04</v>
      </c>
      <c r="O6">
        <v>68152.240000000005</v>
      </c>
      <c r="P6">
        <v>-13582</v>
      </c>
      <c r="Q6" t="str">
        <f>IF(tbl_sales3[[#This Row],[Sale_Price]]&lt;500000,"Budget",
IF(tbl_sales3[[#This Row],[Sale_Price]]&lt;1000000,"Mid-Range",
"Luxury"))</f>
        <v>Luxury</v>
      </c>
      <c r="R6" s="4">
        <f>IFERROR(tbl_sales3[[#This Row],[Sale_Price]]*tbl_sales3[[#This Row],[Commission_Rate]],0)</f>
        <v>68152.240000000005</v>
      </c>
      <c r="S6" t="str">
        <f>IF(ABS(tbl_sales3[[#This Row],[Commission_Earned]]-tbl_sales3[[#This Row],[Calculated_Commission]])&lt;0.02,"Correct","Mismatch")</f>
        <v>Correct</v>
      </c>
      <c r="T6">
        <f>YEAR(tbl_sales3[[#This Row],[Sale_Date]])</f>
        <v>2024</v>
      </c>
      <c r="U6" s="1" t="str">
        <f>TEXT(tbl_sales3[[#This Row],[Sale_Date]],"mmmm")</f>
        <v>July</v>
      </c>
      <c r="V6" s="2">
        <f>EOMONTH(tbl_sales3[[#This Row],[Sale_Date]],0)</f>
        <v>45504</v>
      </c>
      <c r="W6" s="1" t="str">
        <f>IF(AND(tbl_sales3[[#This Row],[Sale_Price]]&gt;1000000,tbl_sales3[[#This Row],[Days_on_Market]]&lt;30),"High Demand","Normal")</f>
        <v>High Demand</v>
      </c>
    </row>
    <row r="7" spans="1:23" x14ac:dyDescent="0.3">
      <c r="A7" s="1" t="s">
        <v>34</v>
      </c>
      <c r="B7" s="1" t="s">
        <v>32</v>
      </c>
      <c r="C7" s="1" t="s">
        <v>35</v>
      </c>
      <c r="D7">
        <v>4</v>
      </c>
      <c r="E7">
        <v>1</v>
      </c>
      <c r="F7">
        <v>676</v>
      </c>
      <c r="G7">
        <v>473809</v>
      </c>
      <c r="H7">
        <v>430808</v>
      </c>
      <c r="I7" s="2">
        <v>45111</v>
      </c>
      <c r="J7" s="2">
        <v>45140</v>
      </c>
      <c r="K7">
        <v>29</v>
      </c>
      <c r="L7" s="1" t="s">
        <v>19</v>
      </c>
      <c r="M7" s="1" t="s">
        <v>20</v>
      </c>
      <c r="N7">
        <v>0.05</v>
      </c>
      <c r="O7">
        <v>21540.400000000001</v>
      </c>
      <c r="P7">
        <v>-43001</v>
      </c>
      <c r="Q7" t="str">
        <f>IF(tbl_sales3[[#This Row],[Sale_Price]]&lt;500000,"Budget",
IF(tbl_sales3[[#This Row],[Sale_Price]]&lt;1000000,"Mid-Range",
"Luxury"))</f>
        <v>Budget</v>
      </c>
      <c r="R7" s="4">
        <f>IFERROR(tbl_sales3[[#This Row],[Sale_Price]]*tbl_sales3[[#This Row],[Commission_Rate]],0)</f>
        <v>21540.400000000001</v>
      </c>
      <c r="S7" t="str">
        <f>IF(ABS(tbl_sales3[[#This Row],[Commission_Earned]]-tbl_sales3[[#This Row],[Calculated_Commission]])&lt;0.02,"Correct","Mismatch")</f>
        <v>Correct</v>
      </c>
      <c r="T7">
        <f>YEAR(tbl_sales3[[#This Row],[Sale_Date]])</f>
        <v>2023</v>
      </c>
      <c r="U7" s="1" t="str">
        <f>TEXT(tbl_sales3[[#This Row],[Sale_Date]],"mmmm")</f>
        <v>August</v>
      </c>
      <c r="V7" s="2">
        <f>EOMONTH(tbl_sales3[[#This Row],[Sale_Date]],0)</f>
        <v>45169</v>
      </c>
      <c r="W7" s="1" t="str">
        <f>IF(AND(tbl_sales3[[#This Row],[Sale_Price]]&gt;1000000,tbl_sales3[[#This Row],[Days_on_Market]]&lt;30),"High Demand","Normal")</f>
        <v>Normal</v>
      </c>
    </row>
    <row r="8" spans="1:23" x14ac:dyDescent="0.3">
      <c r="A8" s="1" t="s">
        <v>36</v>
      </c>
      <c r="B8" s="1" t="s">
        <v>37</v>
      </c>
      <c r="C8" s="1" t="s">
        <v>38</v>
      </c>
      <c r="D8">
        <v>3</v>
      </c>
      <c r="E8">
        <v>2</v>
      </c>
      <c r="F8">
        <v>2978</v>
      </c>
      <c r="G8">
        <v>1501453</v>
      </c>
      <c r="H8">
        <v>1430762</v>
      </c>
      <c r="I8" s="2">
        <v>45515</v>
      </c>
      <c r="J8" s="2">
        <v>45599</v>
      </c>
      <c r="K8">
        <v>84</v>
      </c>
      <c r="L8" s="1" t="s">
        <v>39</v>
      </c>
      <c r="M8" s="1" t="s">
        <v>20</v>
      </c>
      <c r="N8">
        <v>0.04</v>
      </c>
      <c r="O8">
        <v>57230.48</v>
      </c>
      <c r="P8">
        <v>-70691</v>
      </c>
      <c r="Q8" t="str">
        <f>IF(tbl_sales3[[#This Row],[Sale_Price]]&lt;500000,"Budget",
IF(tbl_sales3[[#This Row],[Sale_Price]]&lt;1000000,"Mid-Range",
"Luxury"))</f>
        <v>Luxury</v>
      </c>
      <c r="R8" s="4">
        <f>IFERROR(tbl_sales3[[#This Row],[Sale_Price]]*tbl_sales3[[#This Row],[Commission_Rate]],0)</f>
        <v>57230.48</v>
      </c>
      <c r="S8" t="str">
        <f>IF(ABS(tbl_sales3[[#This Row],[Commission_Earned]]-tbl_sales3[[#This Row],[Calculated_Commission]])&lt;0.02,"Correct","Mismatch")</f>
        <v>Correct</v>
      </c>
      <c r="T8">
        <f>YEAR(tbl_sales3[[#This Row],[Sale_Date]])</f>
        <v>2024</v>
      </c>
      <c r="U8" s="1" t="str">
        <f>TEXT(tbl_sales3[[#This Row],[Sale_Date]],"mmmm")</f>
        <v>November</v>
      </c>
      <c r="V8" s="2">
        <f>EOMONTH(tbl_sales3[[#This Row],[Sale_Date]],0)</f>
        <v>45626</v>
      </c>
      <c r="W8" s="1" t="str">
        <f>IF(AND(tbl_sales3[[#This Row],[Sale_Price]]&gt;1000000,tbl_sales3[[#This Row],[Days_on_Market]]&lt;30),"High Demand","Normal")</f>
        <v>Normal</v>
      </c>
    </row>
    <row r="9" spans="1:23" x14ac:dyDescent="0.3">
      <c r="A9" s="1" t="s">
        <v>40</v>
      </c>
      <c r="B9" s="1" t="s">
        <v>41</v>
      </c>
      <c r="C9" s="1" t="s">
        <v>38</v>
      </c>
      <c r="D9">
        <v>3</v>
      </c>
      <c r="E9">
        <v>4</v>
      </c>
      <c r="F9">
        <v>2125</v>
      </c>
      <c r="G9">
        <v>1251341</v>
      </c>
      <c r="H9">
        <v>1190977</v>
      </c>
      <c r="I9" s="2">
        <v>45151</v>
      </c>
      <c r="J9" s="2">
        <v>45219</v>
      </c>
      <c r="K9">
        <v>68</v>
      </c>
      <c r="L9" s="1" t="s">
        <v>42</v>
      </c>
      <c r="M9" s="1" t="s">
        <v>20</v>
      </c>
      <c r="N9">
        <v>0.05</v>
      </c>
      <c r="O9">
        <v>59548.85</v>
      </c>
      <c r="P9">
        <v>-60364</v>
      </c>
      <c r="Q9" t="str">
        <f>IF(tbl_sales3[[#This Row],[Sale_Price]]&lt;500000,"Budget",
IF(tbl_sales3[[#This Row],[Sale_Price]]&lt;1000000,"Mid-Range",
"Luxury"))</f>
        <v>Luxury</v>
      </c>
      <c r="R9" s="4">
        <f>IFERROR(tbl_sales3[[#This Row],[Sale_Price]]*tbl_sales3[[#This Row],[Commission_Rate]],0)</f>
        <v>59548.850000000006</v>
      </c>
      <c r="S9" t="str">
        <f>IF(ABS(tbl_sales3[[#This Row],[Commission_Earned]]-tbl_sales3[[#This Row],[Calculated_Commission]])&lt;0.02,"Correct","Mismatch")</f>
        <v>Correct</v>
      </c>
      <c r="T9">
        <f>YEAR(tbl_sales3[[#This Row],[Sale_Date]])</f>
        <v>2023</v>
      </c>
      <c r="U9" s="1" t="str">
        <f>TEXT(tbl_sales3[[#This Row],[Sale_Date]],"mmmm")</f>
        <v>October</v>
      </c>
      <c r="V9" s="2">
        <f>EOMONTH(tbl_sales3[[#This Row],[Sale_Date]],0)</f>
        <v>45230</v>
      </c>
      <c r="W9" s="1" t="str">
        <f>IF(AND(tbl_sales3[[#This Row],[Sale_Price]]&gt;1000000,tbl_sales3[[#This Row],[Days_on_Market]]&lt;30),"High Demand","Normal")</f>
        <v>Normal</v>
      </c>
    </row>
    <row r="10" spans="1:23" x14ac:dyDescent="0.3">
      <c r="A10" s="1" t="s">
        <v>43</v>
      </c>
      <c r="B10" s="1" t="s">
        <v>32</v>
      </c>
      <c r="C10" s="1" t="s">
        <v>23</v>
      </c>
      <c r="D10">
        <v>5</v>
      </c>
      <c r="E10">
        <v>2</v>
      </c>
      <c r="F10">
        <v>1083</v>
      </c>
      <c r="G10">
        <v>480968</v>
      </c>
      <c r="H10">
        <v>447333</v>
      </c>
      <c r="I10" s="2">
        <v>44938</v>
      </c>
      <c r="J10" s="2">
        <v>44997</v>
      </c>
      <c r="K10">
        <v>59</v>
      </c>
      <c r="L10" s="1" t="s">
        <v>44</v>
      </c>
      <c r="M10" s="1" t="s">
        <v>28</v>
      </c>
      <c r="N10">
        <v>0.05</v>
      </c>
      <c r="O10">
        <v>22366.65</v>
      </c>
      <c r="P10">
        <v>-33635</v>
      </c>
      <c r="Q10" t="str">
        <f>IF(tbl_sales3[[#This Row],[Sale_Price]]&lt;500000,"Budget",
IF(tbl_sales3[[#This Row],[Sale_Price]]&lt;1000000,"Mid-Range",
"Luxury"))</f>
        <v>Budget</v>
      </c>
      <c r="R10" s="4">
        <f>IFERROR(tbl_sales3[[#This Row],[Sale_Price]]*tbl_sales3[[#This Row],[Commission_Rate]],0)</f>
        <v>22366.65</v>
      </c>
      <c r="S10" t="str">
        <f>IF(ABS(tbl_sales3[[#This Row],[Commission_Earned]]-tbl_sales3[[#This Row],[Calculated_Commission]])&lt;0.02,"Correct","Mismatch")</f>
        <v>Correct</v>
      </c>
      <c r="T10">
        <f>YEAR(tbl_sales3[[#This Row],[Sale_Date]])</f>
        <v>2023</v>
      </c>
      <c r="U10" s="1" t="str">
        <f>TEXT(tbl_sales3[[#This Row],[Sale_Date]],"mmmm")</f>
        <v>March</v>
      </c>
      <c r="V10" s="2">
        <f>EOMONTH(tbl_sales3[[#This Row],[Sale_Date]],0)</f>
        <v>45016</v>
      </c>
      <c r="W10" s="1" t="str">
        <f>IF(AND(tbl_sales3[[#This Row],[Sale_Price]]&gt;1000000,tbl_sales3[[#This Row],[Days_on_Market]]&lt;30),"High Demand","Normal")</f>
        <v>Normal</v>
      </c>
    </row>
    <row r="11" spans="1:23" x14ac:dyDescent="0.3">
      <c r="A11" s="1" t="s">
        <v>45</v>
      </c>
      <c r="B11" s="1" t="s">
        <v>41</v>
      </c>
      <c r="C11" s="1" t="s">
        <v>38</v>
      </c>
      <c r="D11">
        <v>4</v>
      </c>
      <c r="E11">
        <v>1</v>
      </c>
      <c r="F11">
        <v>2424</v>
      </c>
      <c r="G11">
        <v>1269773</v>
      </c>
      <c r="H11">
        <v>1251929</v>
      </c>
      <c r="I11" s="2">
        <v>45009</v>
      </c>
      <c r="J11" s="2">
        <v>45065</v>
      </c>
      <c r="K11">
        <v>56</v>
      </c>
      <c r="L11" s="1" t="s">
        <v>30</v>
      </c>
      <c r="M11" s="1" t="s">
        <v>20</v>
      </c>
      <c r="N11">
        <v>0.04</v>
      </c>
      <c r="O11">
        <v>50077.16</v>
      </c>
      <c r="P11">
        <v>-17844</v>
      </c>
      <c r="Q11" t="str">
        <f>IF(tbl_sales3[[#This Row],[Sale_Price]]&lt;500000,"Budget",
IF(tbl_sales3[[#This Row],[Sale_Price]]&lt;1000000,"Mid-Range",
"Luxury"))</f>
        <v>Luxury</v>
      </c>
      <c r="R11" s="4">
        <f>IFERROR(tbl_sales3[[#This Row],[Sale_Price]]*tbl_sales3[[#This Row],[Commission_Rate]],0)</f>
        <v>50077.16</v>
      </c>
      <c r="S11" t="str">
        <f>IF(ABS(tbl_sales3[[#This Row],[Commission_Earned]]-tbl_sales3[[#This Row],[Calculated_Commission]])&lt;0.02,"Correct","Mismatch")</f>
        <v>Correct</v>
      </c>
      <c r="T11">
        <f>YEAR(tbl_sales3[[#This Row],[Sale_Date]])</f>
        <v>2023</v>
      </c>
      <c r="U11" s="1" t="str">
        <f>TEXT(tbl_sales3[[#This Row],[Sale_Date]],"mmmm")</f>
        <v>May</v>
      </c>
      <c r="V11" s="2">
        <f>EOMONTH(tbl_sales3[[#This Row],[Sale_Date]],0)</f>
        <v>45077</v>
      </c>
      <c r="W11" s="1" t="str">
        <f>IF(AND(tbl_sales3[[#This Row],[Sale_Price]]&gt;1000000,tbl_sales3[[#This Row],[Days_on_Market]]&lt;30),"High Demand","Normal")</f>
        <v>Normal</v>
      </c>
    </row>
    <row r="12" spans="1:23" x14ac:dyDescent="0.3">
      <c r="A12" s="1" t="s">
        <v>46</v>
      </c>
      <c r="B12" s="1" t="s">
        <v>17</v>
      </c>
      <c r="C12" s="1" t="s">
        <v>23</v>
      </c>
      <c r="D12">
        <v>3</v>
      </c>
      <c r="E12">
        <v>3</v>
      </c>
      <c r="F12">
        <v>1302</v>
      </c>
      <c r="G12">
        <v>1181966</v>
      </c>
      <c r="H12">
        <v>1137550</v>
      </c>
      <c r="I12" s="2">
        <v>45535</v>
      </c>
      <c r="J12" s="2">
        <v>45623</v>
      </c>
      <c r="K12">
        <v>88</v>
      </c>
      <c r="L12" s="1" t="s">
        <v>19</v>
      </c>
      <c r="M12" s="1" t="s">
        <v>24</v>
      </c>
      <c r="N12">
        <v>0.04</v>
      </c>
      <c r="O12">
        <v>45502</v>
      </c>
      <c r="P12">
        <v>-44416</v>
      </c>
      <c r="Q12" t="str">
        <f>IF(tbl_sales3[[#This Row],[Sale_Price]]&lt;500000,"Budget",
IF(tbl_sales3[[#This Row],[Sale_Price]]&lt;1000000,"Mid-Range",
"Luxury"))</f>
        <v>Luxury</v>
      </c>
      <c r="R12" s="4">
        <f>IFERROR(tbl_sales3[[#This Row],[Sale_Price]]*tbl_sales3[[#This Row],[Commission_Rate]],0)</f>
        <v>45502</v>
      </c>
      <c r="S12" t="str">
        <f>IF(ABS(tbl_sales3[[#This Row],[Commission_Earned]]-tbl_sales3[[#This Row],[Calculated_Commission]])&lt;0.02,"Correct","Mismatch")</f>
        <v>Correct</v>
      </c>
      <c r="T12">
        <f>YEAR(tbl_sales3[[#This Row],[Sale_Date]])</f>
        <v>2024</v>
      </c>
      <c r="U12" s="1" t="str">
        <f>TEXT(tbl_sales3[[#This Row],[Sale_Date]],"mmmm")</f>
        <v>November</v>
      </c>
      <c r="V12" s="2">
        <f>EOMONTH(tbl_sales3[[#This Row],[Sale_Date]],0)</f>
        <v>45626</v>
      </c>
      <c r="W12" s="1" t="str">
        <f>IF(AND(tbl_sales3[[#This Row],[Sale_Price]]&gt;1000000,tbl_sales3[[#This Row],[Days_on_Market]]&lt;30),"High Demand","Normal")</f>
        <v>Normal</v>
      </c>
    </row>
    <row r="13" spans="1:23" x14ac:dyDescent="0.3">
      <c r="A13" s="1" t="s">
        <v>47</v>
      </c>
      <c r="B13" s="1" t="s">
        <v>48</v>
      </c>
      <c r="C13" s="1" t="s">
        <v>38</v>
      </c>
      <c r="D13">
        <v>4</v>
      </c>
      <c r="E13">
        <v>2</v>
      </c>
      <c r="F13">
        <v>2330</v>
      </c>
      <c r="G13">
        <v>1132711</v>
      </c>
      <c r="H13">
        <v>1097484</v>
      </c>
      <c r="I13" s="2">
        <v>44931</v>
      </c>
      <c r="J13" s="2">
        <v>44978</v>
      </c>
      <c r="K13">
        <v>47</v>
      </c>
      <c r="L13" s="1" t="s">
        <v>19</v>
      </c>
      <c r="M13" s="1" t="s">
        <v>24</v>
      </c>
      <c r="N13">
        <v>0.05</v>
      </c>
      <c r="O13">
        <v>54874.2</v>
      </c>
      <c r="P13">
        <v>-35227</v>
      </c>
      <c r="Q13" t="str">
        <f>IF(tbl_sales3[[#This Row],[Sale_Price]]&lt;500000,"Budget",
IF(tbl_sales3[[#This Row],[Sale_Price]]&lt;1000000,"Mid-Range",
"Luxury"))</f>
        <v>Luxury</v>
      </c>
      <c r="R13" s="4">
        <f>IFERROR(tbl_sales3[[#This Row],[Sale_Price]]*tbl_sales3[[#This Row],[Commission_Rate]],0)</f>
        <v>54874.200000000004</v>
      </c>
      <c r="S13" t="str">
        <f>IF(ABS(tbl_sales3[[#This Row],[Commission_Earned]]-tbl_sales3[[#This Row],[Calculated_Commission]])&lt;0.02,"Correct","Mismatch")</f>
        <v>Correct</v>
      </c>
      <c r="T13">
        <f>YEAR(tbl_sales3[[#This Row],[Sale_Date]])</f>
        <v>2023</v>
      </c>
      <c r="U13" s="1" t="str">
        <f>TEXT(tbl_sales3[[#This Row],[Sale_Date]],"mmmm")</f>
        <v>February</v>
      </c>
      <c r="V13" s="2">
        <f>EOMONTH(tbl_sales3[[#This Row],[Sale_Date]],0)</f>
        <v>44985</v>
      </c>
      <c r="W13" s="1" t="str">
        <f>IF(AND(tbl_sales3[[#This Row],[Sale_Price]]&gt;1000000,tbl_sales3[[#This Row],[Days_on_Market]]&lt;30),"High Demand","Normal")</f>
        <v>Normal</v>
      </c>
    </row>
    <row r="14" spans="1:23" x14ac:dyDescent="0.3">
      <c r="A14" s="1" t="s">
        <v>49</v>
      </c>
      <c r="B14" s="1" t="s">
        <v>41</v>
      </c>
      <c r="C14" s="1" t="s">
        <v>35</v>
      </c>
      <c r="D14">
        <v>3</v>
      </c>
      <c r="E14">
        <v>1</v>
      </c>
      <c r="F14">
        <v>2909</v>
      </c>
      <c r="G14">
        <v>889263</v>
      </c>
      <c r="H14">
        <v>885519</v>
      </c>
      <c r="I14" s="2">
        <v>45614</v>
      </c>
      <c r="J14" s="2">
        <v>45625</v>
      </c>
      <c r="K14">
        <v>11</v>
      </c>
      <c r="L14" s="1" t="s">
        <v>19</v>
      </c>
      <c r="M14" s="1" t="s">
        <v>24</v>
      </c>
      <c r="N14">
        <v>0.04</v>
      </c>
      <c r="O14">
        <v>35420.76</v>
      </c>
      <c r="P14">
        <v>-3744</v>
      </c>
      <c r="Q14" t="str">
        <f>IF(tbl_sales3[[#This Row],[Sale_Price]]&lt;500000,"Budget",
IF(tbl_sales3[[#This Row],[Sale_Price]]&lt;1000000,"Mid-Range",
"Luxury"))</f>
        <v>Mid-Range</v>
      </c>
      <c r="R14" s="4">
        <f>IFERROR(tbl_sales3[[#This Row],[Sale_Price]]*tbl_sales3[[#This Row],[Commission_Rate]],0)</f>
        <v>35420.76</v>
      </c>
      <c r="S14" t="str">
        <f>IF(ABS(tbl_sales3[[#This Row],[Commission_Earned]]-tbl_sales3[[#This Row],[Calculated_Commission]])&lt;0.02,"Correct","Mismatch")</f>
        <v>Correct</v>
      </c>
      <c r="T14">
        <f>YEAR(tbl_sales3[[#This Row],[Sale_Date]])</f>
        <v>2024</v>
      </c>
      <c r="U14" s="1" t="str">
        <f>TEXT(tbl_sales3[[#This Row],[Sale_Date]],"mmmm")</f>
        <v>November</v>
      </c>
      <c r="V14" s="2">
        <f>EOMONTH(tbl_sales3[[#This Row],[Sale_Date]],0)</f>
        <v>45626</v>
      </c>
      <c r="W14" s="1" t="str">
        <f>IF(AND(tbl_sales3[[#This Row],[Sale_Price]]&gt;1000000,tbl_sales3[[#This Row],[Days_on_Market]]&lt;30),"High Demand","Normal")</f>
        <v>Normal</v>
      </c>
    </row>
    <row r="15" spans="1:23" x14ac:dyDescent="0.3">
      <c r="A15" s="1" t="s">
        <v>50</v>
      </c>
      <c r="B15" s="1" t="s">
        <v>17</v>
      </c>
      <c r="C15" s="1" t="s">
        <v>18</v>
      </c>
      <c r="D15">
        <v>2</v>
      </c>
      <c r="E15">
        <v>3</v>
      </c>
      <c r="F15">
        <v>3067</v>
      </c>
      <c r="G15">
        <v>1446681</v>
      </c>
      <c r="H15">
        <v>1368488</v>
      </c>
      <c r="I15" s="2">
        <v>45096</v>
      </c>
      <c r="J15" s="2">
        <v>45141</v>
      </c>
      <c r="K15">
        <v>45</v>
      </c>
      <c r="L15" s="1" t="s">
        <v>51</v>
      </c>
      <c r="M15" s="1" t="s">
        <v>28</v>
      </c>
      <c r="N15">
        <v>4.4999999999999998E-2</v>
      </c>
      <c r="O15">
        <v>61581.96</v>
      </c>
      <c r="P15">
        <v>-78193</v>
      </c>
      <c r="Q15" t="str">
        <f>IF(tbl_sales3[[#This Row],[Sale_Price]]&lt;500000,"Budget",
IF(tbl_sales3[[#This Row],[Sale_Price]]&lt;1000000,"Mid-Range",
"Luxury"))</f>
        <v>Luxury</v>
      </c>
      <c r="R15" s="4">
        <f>IFERROR(tbl_sales3[[#This Row],[Sale_Price]]*tbl_sales3[[#This Row],[Commission_Rate]],0)</f>
        <v>61581.96</v>
      </c>
      <c r="S15" t="str">
        <f>IF(ABS(tbl_sales3[[#This Row],[Commission_Earned]]-tbl_sales3[[#This Row],[Calculated_Commission]])&lt;0.02,"Correct","Mismatch")</f>
        <v>Correct</v>
      </c>
      <c r="T15">
        <f>YEAR(tbl_sales3[[#This Row],[Sale_Date]])</f>
        <v>2023</v>
      </c>
      <c r="U15" s="1" t="str">
        <f>TEXT(tbl_sales3[[#This Row],[Sale_Date]],"mmmm")</f>
        <v>August</v>
      </c>
      <c r="V15" s="2">
        <f>EOMONTH(tbl_sales3[[#This Row],[Sale_Date]],0)</f>
        <v>45169</v>
      </c>
      <c r="W15" s="1" t="str">
        <f>IF(AND(tbl_sales3[[#This Row],[Sale_Price]]&gt;1000000,tbl_sales3[[#This Row],[Days_on_Market]]&lt;30),"High Demand","Normal")</f>
        <v>Normal</v>
      </c>
    </row>
    <row r="16" spans="1:23" x14ac:dyDescent="0.3">
      <c r="A16" s="1" t="s">
        <v>52</v>
      </c>
      <c r="B16" s="1" t="s">
        <v>26</v>
      </c>
      <c r="C16" s="1" t="s">
        <v>35</v>
      </c>
      <c r="D16">
        <v>2</v>
      </c>
      <c r="E16">
        <v>1</v>
      </c>
      <c r="F16">
        <v>3345</v>
      </c>
      <c r="G16">
        <v>1306639</v>
      </c>
      <c r="H16">
        <v>1303452</v>
      </c>
      <c r="I16" s="2">
        <v>45225</v>
      </c>
      <c r="J16" s="2">
        <v>45247</v>
      </c>
      <c r="K16">
        <v>22</v>
      </c>
      <c r="L16" s="1" t="s">
        <v>53</v>
      </c>
      <c r="M16" s="1" t="s">
        <v>20</v>
      </c>
      <c r="N16">
        <v>0.05</v>
      </c>
      <c r="O16">
        <v>65172.6</v>
      </c>
      <c r="P16">
        <v>-3187</v>
      </c>
      <c r="Q16" t="str">
        <f>IF(tbl_sales3[[#This Row],[Sale_Price]]&lt;500000,"Budget",
IF(tbl_sales3[[#This Row],[Sale_Price]]&lt;1000000,"Mid-Range",
"Luxury"))</f>
        <v>Luxury</v>
      </c>
      <c r="R16" s="4">
        <f>IFERROR(tbl_sales3[[#This Row],[Sale_Price]]*tbl_sales3[[#This Row],[Commission_Rate]],0)</f>
        <v>65172.600000000006</v>
      </c>
      <c r="S16" t="str">
        <f>IF(ABS(tbl_sales3[[#This Row],[Commission_Earned]]-tbl_sales3[[#This Row],[Calculated_Commission]])&lt;0.02,"Correct","Mismatch")</f>
        <v>Correct</v>
      </c>
      <c r="T16">
        <f>YEAR(tbl_sales3[[#This Row],[Sale_Date]])</f>
        <v>2023</v>
      </c>
      <c r="U16" s="1" t="str">
        <f>TEXT(tbl_sales3[[#This Row],[Sale_Date]],"mmmm")</f>
        <v>November</v>
      </c>
      <c r="V16" s="2">
        <f>EOMONTH(tbl_sales3[[#This Row],[Sale_Date]],0)</f>
        <v>45260</v>
      </c>
      <c r="W16" s="1" t="str">
        <f>IF(AND(tbl_sales3[[#This Row],[Sale_Price]]&gt;1000000,tbl_sales3[[#This Row],[Days_on_Market]]&lt;30),"High Demand","Normal")</f>
        <v>High Demand</v>
      </c>
    </row>
    <row r="17" spans="1:23" x14ac:dyDescent="0.3">
      <c r="A17" s="1" t="s">
        <v>54</v>
      </c>
      <c r="B17" s="1" t="s">
        <v>26</v>
      </c>
      <c r="C17" s="1" t="s">
        <v>18</v>
      </c>
      <c r="D17">
        <v>4</v>
      </c>
      <c r="E17">
        <v>2</v>
      </c>
      <c r="F17">
        <v>1520</v>
      </c>
      <c r="G17">
        <v>618475</v>
      </c>
      <c r="H17">
        <v>575335</v>
      </c>
      <c r="I17" s="2">
        <v>45497</v>
      </c>
      <c r="J17" s="2">
        <v>45533</v>
      </c>
      <c r="K17">
        <v>36</v>
      </c>
      <c r="L17" s="1" t="s">
        <v>19</v>
      </c>
      <c r="M17" s="1" t="s">
        <v>28</v>
      </c>
      <c r="N17">
        <v>0.05</v>
      </c>
      <c r="O17">
        <v>28766.75</v>
      </c>
      <c r="P17">
        <v>-43140</v>
      </c>
      <c r="Q17" t="str">
        <f>IF(tbl_sales3[[#This Row],[Sale_Price]]&lt;500000,"Budget",
IF(tbl_sales3[[#This Row],[Sale_Price]]&lt;1000000,"Mid-Range",
"Luxury"))</f>
        <v>Mid-Range</v>
      </c>
      <c r="R17" s="4">
        <f>IFERROR(tbl_sales3[[#This Row],[Sale_Price]]*tbl_sales3[[#This Row],[Commission_Rate]],0)</f>
        <v>28766.75</v>
      </c>
      <c r="S17" t="str">
        <f>IF(ABS(tbl_sales3[[#This Row],[Commission_Earned]]-tbl_sales3[[#This Row],[Calculated_Commission]])&lt;0.02,"Correct","Mismatch")</f>
        <v>Correct</v>
      </c>
      <c r="T17">
        <f>YEAR(tbl_sales3[[#This Row],[Sale_Date]])</f>
        <v>2024</v>
      </c>
      <c r="U17" s="1" t="str">
        <f>TEXT(tbl_sales3[[#This Row],[Sale_Date]],"mmmm")</f>
        <v>August</v>
      </c>
      <c r="V17" s="2">
        <f>EOMONTH(tbl_sales3[[#This Row],[Sale_Date]],0)</f>
        <v>45535</v>
      </c>
      <c r="W17" s="1" t="str">
        <f>IF(AND(tbl_sales3[[#This Row],[Sale_Price]]&gt;1000000,tbl_sales3[[#This Row],[Days_on_Market]]&lt;30),"High Demand","Normal")</f>
        <v>Normal</v>
      </c>
    </row>
    <row r="18" spans="1:23" x14ac:dyDescent="0.3">
      <c r="A18" s="1" t="s">
        <v>55</v>
      </c>
      <c r="B18" s="1" t="s">
        <v>17</v>
      </c>
      <c r="C18" s="1" t="s">
        <v>35</v>
      </c>
      <c r="D18">
        <v>5</v>
      </c>
      <c r="E18">
        <v>2</v>
      </c>
      <c r="F18">
        <v>772</v>
      </c>
      <c r="G18">
        <v>1292895</v>
      </c>
      <c r="H18">
        <v>1247705</v>
      </c>
      <c r="I18" s="2">
        <v>45281</v>
      </c>
      <c r="J18" s="2">
        <v>45330</v>
      </c>
      <c r="K18">
        <v>49</v>
      </c>
      <c r="L18" s="1" t="s">
        <v>44</v>
      </c>
      <c r="M18" s="1" t="s">
        <v>20</v>
      </c>
      <c r="N18">
        <v>0.04</v>
      </c>
      <c r="O18">
        <v>49908.2</v>
      </c>
      <c r="P18">
        <v>-45190</v>
      </c>
      <c r="Q18" t="str">
        <f>IF(tbl_sales3[[#This Row],[Sale_Price]]&lt;500000,"Budget",
IF(tbl_sales3[[#This Row],[Sale_Price]]&lt;1000000,"Mid-Range",
"Luxury"))</f>
        <v>Luxury</v>
      </c>
      <c r="R18" s="4">
        <f>IFERROR(tbl_sales3[[#This Row],[Sale_Price]]*tbl_sales3[[#This Row],[Commission_Rate]],0)</f>
        <v>49908.200000000004</v>
      </c>
      <c r="S18" t="str">
        <f>IF(ABS(tbl_sales3[[#This Row],[Commission_Earned]]-tbl_sales3[[#This Row],[Calculated_Commission]])&lt;0.02,"Correct","Mismatch")</f>
        <v>Correct</v>
      </c>
      <c r="T18">
        <f>YEAR(tbl_sales3[[#This Row],[Sale_Date]])</f>
        <v>2024</v>
      </c>
      <c r="U18" s="1" t="str">
        <f>TEXT(tbl_sales3[[#This Row],[Sale_Date]],"mmmm")</f>
        <v>February</v>
      </c>
      <c r="V18" s="2">
        <f>EOMONTH(tbl_sales3[[#This Row],[Sale_Date]],0)</f>
        <v>45351</v>
      </c>
      <c r="W18" s="1" t="str">
        <f>IF(AND(tbl_sales3[[#This Row],[Sale_Price]]&gt;1000000,tbl_sales3[[#This Row],[Days_on_Market]]&lt;30),"High Demand","Normal")</f>
        <v>Normal</v>
      </c>
    </row>
    <row r="19" spans="1:23" x14ac:dyDescent="0.3">
      <c r="A19" s="1" t="s">
        <v>56</v>
      </c>
      <c r="B19" s="1" t="s">
        <v>32</v>
      </c>
      <c r="C19" s="1" t="s">
        <v>18</v>
      </c>
      <c r="D19">
        <v>2</v>
      </c>
      <c r="E19">
        <v>1</v>
      </c>
      <c r="F19">
        <v>2652</v>
      </c>
      <c r="G19">
        <v>1707005</v>
      </c>
      <c r="H19">
        <v>1650320</v>
      </c>
      <c r="I19" s="2">
        <v>45166</v>
      </c>
      <c r="J19" s="2">
        <v>45231</v>
      </c>
      <c r="K19">
        <v>65</v>
      </c>
      <c r="L19" s="1" t="s">
        <v>44</v>
      </c>
      <c r="M19" s="1" t="s">
        <v>20</v>
      </c>
      <c r="N19">
        <v>0.05</v>
      </c>
      <c r="O19">
        <v>82516</v>
      </c>
      <c r="P19">
        <v>-56685</v>
      </c>
      <c r="Q19" t="str">
        <f>IF(tbl_sales3[[#This Row],[Sale_Price]]&lt;500000,"Budget",
IF(tbl_sales3[[#This Row],[Sale_Price]]&lt;1000000,"Mid-Range",
"Luxury"))</f>
        <v>Luxury</v>
      </c>
      <c r="R19" s="4">
        <f>IFERROR(tbl_sales3[[#This Row],[Sale_Price]]*tbl_sales3[[#This Row],[Commission_Rate]],0)</f>
        <v>82516</v>
      </c>
      <c r="S19" t="str">
        <f>IF(ABS(tbl_sales3[[#This Row],[Commission_Earned]]-tbl_sales3[[#This Row],[Calculated_Commission]])&lt;0.02,"Correct","Mismatch")</f>
        <v>Correct</v>
      </c>
      <c r="T19">
        <f>YEAR(tbl_sales3[[#This Row],[Sale_Date]])</f>
        <v>2023</v>
      </c>
      <c r="U19" s="1" t="str">
        <f>TEXT(tbl_sales3[[#This Row],[Sale_Date]],"mmmm")</f>
        <v>November</v>
      </c>
      <c r="V19" s="2">
        <f>EOMONTH(tbl_sales3[[#This Row],[Sale_Date]],0)</f>
        <v>45260</v>
      </c>
      <c r="W19" s="1" t="str">
        <f>IF(AND(tbl_sales3[[#This Row],[Sale_Price]]&gt;1000000,tbl_sales3[[#This Row],[Days_on_Market]]&lt;30),"High Demand","Normal")</f>
        <v>Normal</v>
      </c>
    </row>
    <row r="20" spans="1:23" x14ac:dyDescent="0.3">
      <c r="A20" s="1" t="s">
        <v>57</v>
      </c>
      <c r="B20" s="1" t="s">
        <v>41</v>
      </c>
      <c r="C20" s="1" t="s">
        <v>38</v>
      </c>
      <c r="D20">
        <v>2</v>
      </c>
      <c r="E20">
        <v>2</v>
      </c>
      <c r="F20">
        <v>975</v>
      </c>
      <c r="G20">
        <v>445754</v>
      </c>
      <c r="H20">
        <v>438845</v>
      </c>
      <c r="I20" s="2">
        <v>45113</v>
      </c>
      <c r="J20" s="2">
        <v>45180</v>
      </c>
      <c r="K20">
        <v>67</v>
      </c>
      <c r="L20" s="1" t="s">
        <v>30</v>
      </c>
      <c r="M20" s="1" t="s">
        <v>20</v>
      </c>
      <c r="N20">
        <v>4.4999999999999998E-2</v>
      </c>
      <c r="O20">
        <v>19748.02</v>
      </c>
      <c r="P20">
        <v>-6909</v>
      </c>
      <c r="Q20" t="str">
        <f>IF(tbl_sales3[[#This Row],[Sale_Price]]&lt;500000,"Budget",
IF(tbl_sales3[[#This Row],[Sale_Price]]&lt;1000000,"Mid-Range",
"Luxury"))</f>
        <v>Budget</v>
      </c>
      <c r="R20" s="4">
        <f>IFERROR(tbl_sales3[[#This Row],[Sale_Price]]*tbl_sales3[[#This Row],[Commission_Rate]],0)</f>
        <v>19748.024999999998</v>
      </c>
      <c r="S20" t="str">
        <f>IF(ABS(tbl_sales3[[#This Row],[Commission_Earned]]-tbl_sales3[[#This Row],[Calculated_Commission]])&lt;0.02,"Correct","Mismatch")</f>
        <v>Correct</v>
      </c>
      <c r="T20">
        <f>YEAR(tbl_sales3[[#This Row],[Sale_Date]])</f>
        <v>2023</v>
      </c>
      <c r="U20" s="1" t="str">
        <f>TEXT(tbl_sales3[[#This Row],[Sale_Date]],"mmmm")</f>
        <v>September</v>
      </c>
      <c r="V20" s="2">
        <f>EOMONTH(tbl_sales3[[#This Row],[Sale_Date]],0)</f>
        <v>45199</v>
      </c>
      <c r="W20" s="1" t="str">
        <f>IF(AND(tbl_sales3[[#This Row],[Sale_Price]]&gt;1000000,tbl_sales3[[#This Row],[Days_on_Market]]&lt;30),"High Demand","Normal")</f>
        <v>Normal</v>
      </c>
    </row>
    <row r="21" spans="1:23" x14ac:dyDescent="0.3">
      <c r="A21" s="1" t="s">
        <v>58</v>
      </c>
      <c r="B21" s="1" t="s">
        <v>59</v>
      </c>
      <c r="C21" s="1" t="s">
        <v>23</v>
      </c>
      <c r="D21">
        <v>5</v>
      </c>
      <c r="E21">
        <v>3</v>
      </c>
      <c r="F21">
        <v>1617</v>
      </c>
      <c r="G21">
        <v>1795963</v>
      </c>
      <c r="H21">
        <v>1782475</v>
      </c>
      <c r="I21" s="2">
        <v>45289</v>
      </c>
      <c r="J21" s="2">
        <v>45379</v>
      </c>
      <c r="K21">
        <v>90</v>
      </c>
      <c r="L21" s="1" t="s">
        <v>42</v>
      </c>
      <c r="M21" s="1" t="s">
        <v>20</v>
      </c>
      <c r="N21">
        <v>0.05</v>
      </c>
      <c r="O21">
        <v>89123.75</v>
      </c>
      <c r="P21">
        <v>-13488</v>
      </c>
      <c r="Q21" t="str">
        <f>IF(tbl_sales3[[#This Row],[Sale_Price]]&lt;500000,"Budget",
IF(tbl_sales3[[#This Row],[Sale_Price]]&lt;1000000,"Mid-Range",
"Luxury"))</f>
        <v>Luxury</v>
      </c>
      <c r="R21" s="4">
        <f>IFERROR(tbl_sales3[[#This Row],[Sale_Price]]*tbl_sales3[[#This Row],[Commission_Rate]],0)</f>
        <v>89123.75</v>
      </c>
      <c r="S21" t="str">
        <f>IF(ABS(tbl_sales3[[#This Row],[Commission_Earned]]-tbl_sales3[[#This Row],[Calculated_Commission]])&lt;0.02,"Correct","Mismatch")</f>
        <v>Correct</v>
      </c>
      <c r="T21">
        <f>YEAR(tbl_sales3[[#This Row],[Sale_Date]])</f>
        <v>2024</v>
      </c>
      <c r="U21" s="1" t="str">
        <f>TEXT(tbl_sales3[[#This Row],[Sale_Date]],"mmmm")</f>
        <v>March</v>
      </c>
      <c r="V21" s="2">
        <f>EOMONTH(tbl_sales3[[#This Row],[Sale_Date]],0)</f>
        <v>45382</v>
      </c>
      <c r="W21" s="1" t="str">
        <f>IF(AND(tbl_sales3[[#This Row],[Sale_Price]]&gt;1000000,tbl_sales3[[#This Row],[Days_on_Market]]&lt;30),"High Demand","Normal")</f>
        <v>Normal</v>
      </c>
    </row>
    <row r="22" spans="1:23" x14ac:dyDescent="0.3">
      <c r="A22" s="1" t="s">
        <v>60</v>
      </c>
      <c r="B22" s="1" t="s">
        <v>59</v>
      </c>
      <c r="C22" s="1" t="s">
        <v>35</v>
      </c>
      <c r="D22">
        <v>3</v>
      </c>
      <c r="E22">
        <v>4</v>
      </c>
      <c r="F22">
        <v>907</v>
      </c>
      <c r="G22">
        <v>976137</v>
      </c>
      <c r="H22">
        <v>908171</v>
      </c>
      <c r="I22" s="2">
        <v>45079</v>
      </c>
      <c r="J22" s="2">
        <v>45092</v>
      </c>
      <c r="K22">
        <v>13</v>
      </c>
      <c r="L22" s="1" t="s">
        <v>42</v>
      </c>
      <c r="M22" s="1" t="s">
        <v>20</v>
      </c>
      <c r="N22">
        <v>0.04</v>
      </c>
      <c r="O22">
        <v>36326.839999999997</v>
      </c>
      <c r="P22">
        <v>-67966</v>
      </c>
      <c r="Q22" t="str">
        <f>IF(tbl_sales3[[#This Row],[Sale_Price]]&lt;500000,"Budget",
IF(tbl_sales3[[#This Row],[Sale_Price]]&lt;1000000,"Mid-Range",
"Luxury"))</f>
        <v>Mid-Range</v>
      </c>
      <c r="R22" s="4">
        <f>IFERROR(tbl_sales3[[#This Row],[Sale_Price]]*tbl_sales3[[#This Row],[Commission_Rate]],0)</f>
        <v>36326.840000000004</v>
      </c>
      <c r="S22" t="str">
        <f>IF(ABS(tbl_sales3[[#This Row],[Commission_Earned]]-tbl_sales3[[#This Row],[Calculated_Commission]])&lt;0.02,"Correct","Mismatch")</f>
        <v>Correct</v>
      </c>
      <c r="T22">
        <f>YEAR(tbl_sales3[[#This Row],[Sale_Date]])</f>
        <v>2023</v>
      </c>
      <c r="U22" s="1" t="str">
        <f>TEXT(tbl_sales3[[#This Row],[Sale_Date]],"mmmm")</f>
        <v>June</v>
      </c>
      <c r="V22" s="2">
        <f>EOMONTH(tbl_sales3[[#This Row],[Sale_Date]],0)</f>
        <v>45107</v>
      </c>
      <c r="W22" s="1" t="str">
        <f>IF(AND(tbl_sales3[[#This Row],[Sale_Price]]&gt;1000000,tbl_sales3[[#This Row],[Days_on_Market]]&lt;30),"High Demand","Normal")</f>
        <v>Normal</v>
      </c>
    </row>
    <row r="23" spans="1:23" x14ac:dyDescent="0.3">
      <c r="A23" s="1" t="s">
        <v>61</v>
      </c>
      <c r="B23" s="1" t="s">
        <v>48</v>
      </c>
      <c r="C23" s="1" t="s">
        <v>23</v>
      </c>
      <c r="D23">
        <v>1</v>
      </c>
      <c r="E23">
        <v>1</v>
      </c>
      <c r="F23">
        <v>1518</v>
      </c>
      <c r="G23">
        <v>611348</v>
      </c>
      <c r="H23">
        <v>580718</v>
      </c>
      <c r="I23" s="2">
        <v>45042</v>
      </c>
      <c r="J23" s="2">
        <v>45122</v>
      </c>
      <c r="K23">
        <v>80</v>
      </c>
      <c r="L23" s="1" t="s">
        <v>42</v>
      </c>
      <c r="M23" s="1" t="s">
        <v>28</v>
      </c>
      <c r="N23">
        <v>0.04</v>
      </c>
      <c r="O23">
        <v>23228.720000000001</v>
      </c>
      <c r="P23">
        <v>-30630</v>
      </c>
      <c r="Q23" t="str">
        <f>IF(tbl_sales3[[#This Row],[Sale_Price]]&lt;500000,"Budget",
IF(tbl_sales3[[#This Row],[Sale_Price]]&lt;1000000,"Mid-Range",
"Luxury"))</f>
        <v>Mid-Range</v>
      </c>
      <c r="R23" s="4">
        <f>IFERROR(tbl_sales3[[#This Row],[Sale_Price]]*tbl_sales3[[#This Row],[Commission_Rate]],0)</f>
        <v>23228.720000000001</v>
      </c>
      <c r="S23" t="str">
        <f>IF(ABS(tbl_sales3[[#This Row],[Commission_Earned]]-tbl_sales3[[#This Row],[Calculated_Commission]])&lt;0.02,"Correct","Mismatch")</f>
        <v>Correct</v>
      </c>
      <c r="T23">
        <f>YEAR(tbl_sales3[[#This Row],[Sale_Date]])</f>
        <v>2023</v>
      </c>
      <c r="U23" s="1" t="str">
        <f>TEXT(tbl_sales3[[#This Row],[Sale_Date]],"mmmm")</f>
        <v>July</v>
      </c>
      <c r="V23" s="2">
        <f>EOMONTH(tbl_sales3[[#This Row],[Sale_Date]],0)</f>
        <v>45138</v>
      </c>
      <c r="W23" s="1" t="str">
        <f>IF(AND(tbl_sales3[[#This Row],[Sale_Price]]&gt;1000000,tbl_sales3[[#This Row],[Days_on_Market]]&lt;30),"High Demand","Normal")</f>
        <v>Normal</v>
      </c>
    </row>
    <row r="24" spans="1:23" x14ac:dyDescent="0.3">
      <c r="A24" s="1" t="s">
        <v>62</v>
      </c>
      <c r="B24" s="1" t="s">
        <v>48</v>
      </c>
      <c r="C24" s="1" t="s">
        <v>38</v>
      </c>
      <c r="D24">
        <v>1</v>
      </c>
      <c r="E24">
        <v>4</v>
      </c>
      <c r="F24">
        <v>2837</v>
      </c>
      <c r="G24">
        <v>864858</v>
      </c>
      <c r="H24">
        <v>840811</v>
      </c>
      <c r="I24" s="2">
        <v>45575</v>
      </c>
      <c r="J24" s="2">
        <v>45591</v>
      </c>
      <c r="K24">
        <v>16</v>
      </c>
      <c r="L24" s="1" t="s">
        <v>51</v>
      </c>
      <c r="M24" s="1" t="s">
        <v>28</v>
      </c>
      <c r="N24">
        <v>0.05</v>
      </c>
      <c r="O24">
        <v>42040.55</v>
      </c>
      <c r="P24">
        <v>-24047</v>
      </c>
      <c r="Q24" t="str">
        <f>IF(tbl_sales3[[#This Row],[Sale_Price]]&lt;500000,"Budget",
IF(tbl_sales3[[#This Row],[Sale_Price]]&lt;1000000,"Mid-Range",
"Luxury"))</f>
        <v>Mid-Range</v>
      </c>
      <c r="R24" s="4">
        <f>IFERROR(tbl_sales3[[#This Row],[Sale_Price]]*tbl_sales3[[#This Row],[Commission_Rate]],0)</f>
        <v>42040.55</v>
      </c>
      <c r="S24" t="str">
        <f>IF(ABS(tbl_sales3[[#This Row],[Commission_Earned]]-tbl_sales3[[#This Row],[Calculated_Commission]])&lt;0.02,"Correct","Mismatch")</f>
        <v>Correct</v>
      </c>
      <c r="T24">
        <f>YEAR(tbl_sales3[[#This Row],[Sale_Date]])</f>
        <v>2024</v>
      </c>
      <c r="U24" s="1" t="str">
        <f>TEXT(tbl_sales3[[#This Row],[Sale_Date]],"mmmm")</f>
        <v>October</v>
      </c>
      <c r="V24" s="2">
        <f>EOMONTH(tbl_sales3[[#This Row],[Sale_Date]],0)</f>
        <v>45596</v>
      </c>
      <c r="W24" s="1" t="str">
        <f>IF(AND(tbl_sales3[[#This Row],[Sale_Price]]&gt;1000000,tbl_sales3[[#This Row],[Days_on_Market]]&lt;30),"High Demand","Normal")</f>
        <v>Normal</v>
      </c>
    </row>
    <row r="25" spans="1:23" x14ac:dyDescent="0.3">
      <c r="A25" s="1" t="s">
        <v>63</v>
      </c>
      <c r="B25" s="1" t="s">
        <v>17</v>
      </c>
      <c r="C25" s="1" t="s">
        <v>23</v>
      </c>
      <c r="D25">
        <v>4</v>
      </c>
      <c r="E25">
        <v>2</v>
      </c>
      <c r="F25">
        <v>2332</v>
      </c>
      <c r="G25">
        <v>433760</v>
      </c>
      <c r="H25">
        <v>393102</v>
      </c>
      <c r="I25" s="2">
        <v>45064</v>
      </c>
      <c r="J25" s="2">
        <v>45099</v>
      </c>
      <c r="K25">
        <v>35</v>
      </c>
      <c r="L25" s="1" t="s">
        <v>39</v>
      </c>
      <c r="M25" s="1" t="s">
        <v>28</v>
      </c>
      <c r="N25">
        <v>4.4999999999999998E-2</v>
      </c>
      <c r="O25">
        <v>17689.59</v>
      </c>
      <c r="P25">
        <v>-40658</v>
      </c>
      <c r="Q25" t="str">
        <f>IF(tbl_sales3[[#This Row],[Sale_Price]]&lt;500000,"Budget",
IF(tbl_sales3[[#This Row],[Sale_Price]]&lt;1000000,"Mid-Range",
"Luxury"))</f>
        <v>Budget</v>
      </c>
      <c r="R25" s="4">
        <f>IFERROR(tbl_sales3[[#This Row],[Sale_Price]]*tbl_sales3[[#This Row],[Commission_Rate]],0)</f>
        <v>17689.59</v>
      </c>
      <c r="S25" t="str">
        <f>IF(ABS(tbl_sales3[[#This Row],[Commission_Earned]]-tbl_sales3[[#This Row],[Calculated_Commission]])&lt;0.02,"Correct","Mismatch")</f>
        <v>Correct</v>
      </c>
      <c r="T25">
        <f>YEAR(tbl_sales3[[#This Row],[Sale_Date]])</f>
        <v>2023</v>
      </c>
      <c r="U25" s="1" t="str">
        <f>TEXT(tbl_sales3[[#This Row],[Sale_Date]],"mmmm")</f>
        <v>June</v>
      </c>
      <c r="V25" s="2">
        <f>EOMONTH(tbl_sales3[[#This Row],[Sale_Date]],0)</f>
        <v>45107</v>
      </c>
      <c r="W25" s="1" t="str">
        <f>IF(AND(tbl_sales3[[#This Row],[Sale_Price]]&gt;1000000,tbl_sales3[[#This Row],[Days_on_Market]]&lt;30),"High Demand","Normal")</f>
        <v>Normal</v>
      </c>
    </row>
    <row r="26" spans="1:23" x14ac:dyDescent="0.3">
      <c r="A26" s="1" t="s">
        <v>64</v>
      </c>
      <c r="B26" s="1" t="s">
        <v>22</v>
      </c>
      <c r="C26" s="1" t="s">
        <v>38</v>
      </c>
      <c r="D26">
        <v>1</v>
      </c>
      <c r="E26">
        <v>1</v>
      </c>
      <c r="F26">
        <v>2741</v>
      </c>
      <c r="G26">
        <v>1410949</v>
      </c>
      <c r="H26">
        <v>1391879</v>
      </c>
      <c r="I26" s="2">
        <v>45059</v>
      </c>
      <c r="J26" s="2">
        <v>45093</v>
      </c>
      <c r="K26">
        <v>34</v>
      </c>
      <c r="L26" s="1" t="s">
        <v>39</v>
      </c>
      <c r="M26" s="1" t="s">
        <v>24</v>
      </c>
      <c r="N26">
        <v>4.4999999999999998E-2</v>
      </c>
      <c r="O26">
        <v>62634.559999999998</v>
      </c>
      <c r="P26">
        <v>-19070</v>
      </c>
      <c r="Q26" t="str">
        <f>IF(tbl_sales3[[#This Row],[Sale_Price]]&lt;500000,"Budget",
IF(tbl_sales3[[#This Row],[Sale_Price]]&lt;1000000,"Mid-Range",
"Luxury"))</f>
        <v>Luxury</v>
      </c>
      <c r="R26" s="4">
        <f>IFERROR(tbl_sales3[[#This Row],[Sale_Price]]*tbl_sales3[[#This Row],[Commission_Rate]],0)</f>
        <v>62634.555</v>
      </c>
      <c r="S26" t="str">
        <f>IF(ABS(tbl_sales3[[#This Row],[Commission_Earned]]-tbl_sales3[[#This Row],[Calculated_Commission]])&lt;0.02,"Correct","Mismatch")</f>
        <v>Correct</v>
      </c>
      <c r="T26">
        <f>YEAR(tbl_sales3[[#This Row],[Sale_Date]])</f>
        <v>2023</v>
      </c>
      <c r="U26" s="1" t="str">
        <f>TEXT(tbl_sales3[[#This Row],[Sale_Date]],"mmmm")</f>
        <v>June</v>
      </c>
      <c r="V26" s="2">
        <f>EOMONTH(tbl_sales3[[#This Row],[Sale_Date]],0)</f>
        <v>45107</v>
      </c>
      <c r="W26" s="1" t="str">
        <f>IF(AND(tbl_sales3[[#This Row],[Sale_Price]]&gt;1000000,tbl_sales3[[#This Row],[Days_on_Market]]&lt;30),"High Demand","Normal")</f>
        <v>Normal</v>
      </c>
    </row>
    <row r="27" spans="1:23" x14ac:dyDescent="0.3">
      <c r="A27" s="1" t="s">
        <v>65</v>
      </c>
      <c r="B27" s="1" t="s">
        <v>26</v>
      </c>
      <c r="C27" s="1" t="s">
        <v>18</v>
      </c>
      <c r="D27">
        <v>2</v>
      </c>
      <c r="E27">
        <v>2</v>
      </c>
      <c r="F27">
        <v>1627</v>
      </c>
      <c r="G27">
        <v>1396973</v>
      </c>
      <c r="H27">
        <v>1363963</v>
      </c>
      <c r="I27" s="2">
        <v>45425</v>
      </c>
      <c r="J27" s="2">
        <v>45464</v>
      </c>
      <c r="K27">
        <v>39</v>
      </c>
      <c r="L27" s="1" t="s">
        <v>19</v>
      </c>
      <c r="M27" s="1" t="s">
        <v>28</v>
      </c>
      <c r="N27">
        <v>4.4999999999999998E-2</v>
      </c>
      <c r="O27">
        <v>61378.33</v>
      </c>
      <c r="P27">
        <v>-33010</v>
      </c>
      <c r="Q27" t="str">
        <f>IF(tbl_sales3[[#This Row],[Sale_Price]]&lt;500000,"Budget",
IF(tbl_sales3[[#This Row],[Sale_Price]]&lt;1000000,"Mid-Range",
"Luxury"))</f>
        <v>Luxury</v>
      </c>
      <c r="R27" s="4">
        <f>IFERROR(tbl_sales3[[#This Row],[Sale_Price]]*tbl_sales3[[#This Row],[Commission_Rate]],0)</f>
        <v>61378.334999999999</v>
      </c>
      <c r="S27" t="str">
        <f>IF(ABS(tbl_sales3[[#This Row],[Commission_Earned]]-tbl_sales3[[#This Row],[Calculated_Commission]])&lt;0.02,"Correct","Mismatch")</f>
        <v>Correct</v>
      </c>
      <c r="T27">
        <f>YEAR(tbl_sales3[[#This Row],[Sale_Date]])</f>
        <v>2024</v>
      </c>
      <c r="U27" s="1" t="str">
        <f>TEXT(tbl_sales3[[#This Row],[Sale_Date]],"mmmm")</f>
        <v>June</v>
      </c>
      <c r="V27" s="2">
        <f>EOMONTH(tbl_sales3[[#This Row],[Sale_Date]],0)</f>
        <v>45473</v>
      </c>
      <c r="W27" s="1" t="str">
        <f>IF(AND(tbl_sales3[[#This Row],[Sale_Price]]&gt;1000000,tbl_sales3[[#This Row],[Days_on_Market]]&lt;30),"High Demand","Normal")</f>
        <v>Normal</v>
      </c>
    </row>
    <row r="28" spans="1:23" x14ac:dyDescent="0.3">
      <c r="A28" s="1" t="s">
        <v>66</v>
      </c>
      <c r="B28" s="1" t="s">
        <v>17</v>
      </c>
      <c r="C28" s="1" t="s">
        <v>33</v>
      </c>
      <c r="D28">
        <v>2</v>
      </c>
      <c r="E28">
        <v>2</v>
      </c>
      <c r="F28">
        <v>622</v>
      </c>
      <c r="G28">
        <v>1793447</v>
      </c>
      <c r="H28">
        <v>1776514</v>
      </c>
      <c r="I28" s="2">
        <v>45571</v>
      </c>
      <c r="J28" s="2">
        <v>45605</v>
      </c>
      <c r="K28">
        <v>34</v>
      </c>
      <c r="L28" s="1" t="s">
        <v>51</v>
      </c>
      <c r="M28" s="1" t="s">
        <v>20</v>
      </c>
      <c r="N28">
        <v>4.4999999999999998E-2</v>
      </c>
      <c r="O28">
        <v>79943.13</v>
      </c>
      <c r="P28">
        <v>-16933</v>
      </c>
      <c r="Q28" t="str">
        <f>IF(tbl_sales3[[#This Row],[Sale_Price]]&lt;500000,"Budget",
IF(tbl_sales3[[#This Row],[Sale_Price]]&lt;1000000,"Mid-Range",
"Luxury"))</f>
        <v>Luxury</v>
      </c>
      <c r="R28" s="4">
        <f>IFERROR(tbl_sales3[[#This Row],[Sale_Price]]*tbl_sales3[[#This Row],[Commission_Rate]],0)</f>
        <v>79943.12999999999</v>
      </c>
      <c r="S28" t="str">
        <f>IF(ABS(tbl_sales3[[#This Row],[Commission_Earned]]-tbl_sales3[[#This Row],[Calculated_Commission]])&lt;0.02,"Correct","Mismatch")</f>
        <v>Correct</v>
      </c>
      <c r="T28">
        <f>YEAR(tbl_sales3[[#This Row],[Sale_Date]])</f>
        <v>2024</v>
      </c>
      <c r="U28" s="1" t="str">
        <f>TEXT(tbl_sales3[[#This Row],[Sale_Date]],"mmmm")</f>
        <v>November</v>
      </c>
      <c r="V28" s="2">
        <f>EOMONTH(tbl_sales3[[#This Row],[Sale_Date]],0)</f>
        <v>45626</v>
      </c>
      <c r="W28" s="1" t="str">
        <f>IF(AND(tbl_sales3[[#This Row],[Sale_Price]]&gt;1000000,tbl_sales3[[#This Row],[Days_on_Market]]&lt;30),"High Demand","Normal")</f>
        <v>Normal</v>
      </c>
    </row>
    <row r="29" spans="1:23" x14ac:dyDescent="0.3">
      <c r="A29" s="1" t="s">
        <v>67</v>
      </c>
      <c r="B29" s="1" t="s">
        <v>17</v>
      </c>
      <c r="C29" s="1" t="s">
        <v>33</v>
      </c>
      <c r="D29">
        <v>5</v>
      </c>
      <c r="E29">
        <v>3</v>
      </c>
      <c r="F29">
        <v>1352</v>
      </c>
      <c r="G29">
        <v>1142693</v>
      </c>
      <c r="H29">
        <v>1136958</v>
      </c>
      <c r="I29" s="2">
        <v>45225</v>
      </c>
      <c r="J29" s="2">
        <v>45245</v>
      </c>
      <c r="K29">
        <v>20</v>
      </c>
      <c r="L29" s="1" t="s">
        <v>44</v>
      </c>
      <c r="M29" s="1" t="s">
        <v>28</v>
      </c>
      <c r="N29">
        <v>4.4999999999999998E-2</v>
      </c>
      <c r="O29">
        <v>51163.11</v>
      </c>
      <c r="P29">
        <v>-5735</v>
      </c>
      <c r="Q29" t="str">
        <f>IF(tbl_sales3[[#This Row],[Sale_Price]]&lt;500000,"Budget",
IF(tbl_sales3[[#This Row],[Sale_Price]]&lt;1000000,"Mid-Range",
"Luxury"))</f>
        <v>Luxury</v>
      </c>
      <c r="R29" s="4">
        <f>IFERROR(tbl_sales3[[#This Row],[Sale_Price]]*tbl_sales3[[#This Row],[Commission_Rate]],0)</f>
        <v>51163.11</v>
      </c>
      <c r="S29" t="str">
        <f>IF(ABS(tbl_sales3[[#This Row],[Commission_Earned]]-tbl_sales3[[#This Row],[Calculated_Commission]])&lt;0.02,"Correct","Mismatch")</f>
        <v>Correct</v>
      </c>
      <c r="T29">
        <f>YEAR(tbl_sales3[[#This Row],[Sale_Date]])</f>
        <v>2023</v>
      </c>
      <c r="U29" s="1" t="str">
        <f>TEXT(tbl_sales3[[#This Row],[Sale_Date]],"mmmm")</f>
        <v>November</v>
      </c>
      <c r="V29" s="2">
        <f>EOMONTH(tbl_sales3[[#This Row],[Sale_Date]],0)</f>
        <v>45260</v>
      </c>
      <c r="W29" s="1" t="str">
        <f>IF(AND(tbl_sales3[[#This Row],[Sale_Price]]&gt;1000000,tbl_sales3[[#This Row],[Days_on_Market]]&lt;30),"High Demand","Normal")</f>
        <v>High Demand</v>
      </c>
    </row>
    <row r="30" spans="1:23" x14ac:dyDescent="0.3">
      <c r="A30" s="1" t="s">
        <v>68</v>
      </c>
      <c r="B30" s="1" t="s">
        <v>22</v>
      </c>
      <c r="C30" s="1" t="s">
        <v>35</v>
      </c>
      <c r="D30">
        <v>3</v>
      </c>
      <c r="E30">
        <v>2</v>
      </c>
      <c r="F30">
        <v>553</v>
      </c>
      <c r="G30">
        <v>521193</v>
      </c>
      <c r="H30">
        <v>442001</v>
      </c>
      <c r="I30" s="2">
        <v>45478</v>
      </c>
      <c r="J30" s="2">
        <v>45568</v>
      </c>
      <c r="K30">
        <v>90</v>
      </c>
      <c r="L30" s="1" t="s">
        <v>42</v>
      </c>
      <c r="M30" s="1" t="s">
        <v>20</v>
      </c>
      <c r="N30">
        <v>4.4999999999999998E-2</v>
      </c>
      <c r="O30">
        <v>19890.04</v>
      </c>
      <c r="P30">
        <v>-79192</v>
      </c>
      <c r="Q30" t="str">
        <f>IF(tbl_sales3[[#This Row],[Sale_Price]]&lt;500000,"Budget",
IF(tbl_sales3[[#This Row],[Sale_Price]]&lt;1000000,"Mid-Range",
"Luxury"))</f>
        <v>Budget</v>
      </c>
      <c r="R30" s="4">
        <f>IFERROR(tbl_sales3[[#This Row],[Sale_Price]]*tbl_sales3[[#This Row],[Commission_Rate]],0)</f>
        <v>19890.044999999998</v>
      </c>
      <c r="S30" t="str">
        <f>IF(ABS(tbl_sales3[[#This Row],[Commission_Earned]]-tbl_sales3[[#This Row],[Calculated_Commission]])&lt;0.02,"Correct","Mismatch")</f>
        <v>Correct</v>
      </c>
      <c r="T30">
        <f>YEAR(tbl_sales3[[#This Row],[Sale_Date]])</f>
        <v>2024</v>
      </c>
      <c r="U30" s="1" t="str">
        <f>TEXT(tbl_sales3[[#This Row],[Sale_Date]],"mmmm")</f>
        <v>October</v>
      </c>
      <c r="V30" s="2">
        <f>EOMONTH(tbl_sales3[[#This Row],[Sale_Date]],0)</f>
        <v>45596</v>
      </c>
      <c r="W30" s="1" t="str">
        <f>IF(AND(tbl_sales3[[#This Row],[Sale_Price]]&gt;1000000,tbl_sales3[[#This Row],[Days_on_Market]]&lt;30),"High Demand","Normal")</f>
        <v>Normal</v>
      </c>
    </row>
    <row r="31" spans="1:23" x14ac:dyDescent="0.3">
      <c r="A31" s="1" t="s">
        <v>69</v>
      </c>
      <c r="B31" s="1" t="s">
        <v>22</v>
      </c>
      <c r="C31" s="1" t="s">
        <v>33</v>
      </c>
      <c r="D31">
        <v>5</v>
      </c>
      <c r="E31">
        <v>3</v>
      </c>
      <c r="F31">
        <v>694</v>
      </c>
      <c r="G31">
        <v>410868</v>
      </c>
      <c r="H31">
        <v>355818</v>
      </c>
      <c r="I31" s="2">
        <v>45604</v>
      </c>
      <c r="J31" s="2">
        <v>45621</v>
      </c>
      <c r="K31">
        <v>17</v>
      </c>
      <c r="L31" s="1" t="s">
        <v>42</v>
      </c>
      <c r="M31" s="1" t="s">
        <v>20</v>
      </c>
      <c r="N31">
        <v>0.04</v>
      </c>
      <c r="O31">
        <v>14232.72</v>
      </c>
      <c r="P31">
        <v>-55050</v>
      </c>
      <c r="Q31" t="str">
        <f>IF(tbl_sales3[[#This Row],[Sale_Price]]&lt;500000,"Budget",
IF(tbl_sales3[[#This Row],[Sale_Price]]&lt;1000000,"Mid-Range",
"Luxury"))</f>
        <v>Budget</v>
      </c>
      <c r="R31" s="4">
        <f>IFERROR(tbl_sales3[[#This Row],[Sale_Price]]*tbl_sales3[[#This Row],[Commission_Rate]],0)</f>
        <v>14232.720000000001</v>
      </c>
      <c r="S31" t="str">
        <f>IF(ABS(tbl_sales3[[#This Row],[Commission_Earned]]-tbl_sales3[[#This Row],[Calculated_Commission]])&lt;0.02,"Correct","Mismatch")</f>
        <v>Correct</v>
      </c>
      <c r="T31">
        <f>YEAR(tbl_sales3[[#This Row],[Sale_Date]])</f>
        <v>2024</v>
      </c>
      <c r="U31" s="1" t="str">
        <f>TEXT(tbl_sales3[[#This Row],[Sale_Date]],"mmmm")</f>
        <v>November</v>
      </c>
      <c r="V31" s="2">
        <f>EOMONTH(tbl_sales3[[#This Row],[Sale_Date]],0)</f>
        <v>45626</v>
      </c>
      <c r="W31" s="1" t="str">
        <f>IF(AND(tbl_sales3[[#This Row],[Sale_Price]]&gt;1000000,tbl_sales3[[#This Row],[Days_on_Market]]&lt;30),"High Demand","Normal")</f>
        <v>Normal</v>
      </c>
    </row>
    <row r="32" spans="1:23" x14ac:dyDescent="0.3">
      <c r="A32" s="1" t="s">
        <v>70</v>
      </c>
      <c r="B32" s="1" t="s">
        <v>59</v>
      </c>
      <c r="C32" s="1" t="s">
        <v>33</v>
      </c>
      <c r="D32">
        <v>1</v>
      </c>
      <c r="E32">
        <v>2</v>
      </c>
      <c r="F32">
        <v>1173</v>
      </c>
      <c r="G32">
        <v>967638</v>
      </c>
      <c r="H32">
        <v>910249</v>
      </c>
      <c r="I32" s="2">
        <v>45384</v>
      </c>
      <c r="J32" s="2">
        <v>45408</v>
      </c>
      <c r="K32">
        <v>24</v>
      </c>
      <c r="L32" s="1" t="s">
        <v>30</v>
      </c>
      <c r="M32" s="1" t="s">
        <v>28</v>
      </c>
      <c r="N32">
        <v>4.4999999999999998E-2</v>
      </c>
      <c r="O32">
        <v>40961.21</v>
      </c>
      <c r="P32">
        <v>-57389</v>
      </c>
      <c r="Q32" t="str">
        <f>IF(tbl_sales3[[#This Row],[Sale_Price]]&lt;500000,"Budget",
IF(tbl_sales3[[#This Row],[Sale_Price]]&lt;1000000,"Mid-Range",
"Luxury"))</f>
        <v>Mid-Range</v>
      </c>
      <c r="R32" s="4">
        <f>IFERROR(tbl_sales3[[#This Row],[Sale_Price]]*tbl_sales3[[#This Row],[Commission_Rate]],0)</f>
        <v>40961.205000000002</v>
      </c>
      <c r="S32" t="str">
        <f>IF(ABS(tbl_sales3[[#This Row],[Commission_Earned]]-tbl_sales3[[#This Row],[Calculated_Commission]])&lt;0.02,"Correct","Mismatch")</f>
        <v>Correct</v>
      </c>
      <c r="T32">
        <f>YEAR(tbl_sales3[[#This Row],[Sale_Date]])</f>
        <v>2024</v>
      </c>
      <c r="U32" s="1" t="str">
        <f>TEXT(tbl_sales3[[#This Row],[Sale_Date]],"mmmm")</f>
        <v>April</v>
      </c>
      <c r="V32" s="2">
        <f>EOMONTH(tbl_sales3[[#This Row],[Sale_Date]],0)</f>
        <v>45412</v>
      </c>
      <c r="W32" s="1" t="str">
        <f>IF(AND(tbl_sales3[[#This Row],[Sale_Price]]&gt;1000000,tbl_sales3[[#This Row],[Days_on_Market]]&lt;30),"High Demand","Normal")</f>
        <v>Normal</v>
      </c>
    </row>
    <row r="33" spans="1:23" x14ac:dyDescent="0.3">
      <c r="A33" s="1" t="s">
        <v>71</v>
      </c>
      <c r="B33" s="1" t="s">
        <v>26</v>
      </c>
      <c r="C33" s="1" t="s">
        <v>23</v>
      </c>
      <c r="D33">
        <v>3</v>
      </c>
      <c r="E33">
        <v>1</v>
      </c>
      <c r="F33">
        <v>1190</v>
      </c>
      <c r="G33">
        <v>635295</v>
      </c>
      <c r="H33">
        <v>572712</v>
      </c>
      <c r="I33" s="2">
        <v>45113</v>
      </c>
      <c r="J33" s="2">
        <v>45145</v>
      </c>
      <c r="K33">
        <v>32</v>
      </c>
      <c r="L33" s="1" t="s">
        <v>42</v>
      </c>
      <c r="M33" s="1" t="s">
        <v>28</v>
      </c>
      <c r="N33">
        <v>4.4999999999999998E-2</v>
      </c>
      <c r="O33">
        <v>25772.04</v>
      </c>
      <c r="P33">
        <v>-62583</v>
      </c>
      <c r="Q33" t="str">
        <f>IF(tbl_sales3[[#This Row],[Sale_Price]]&lt;500000,"Budget",
IF(tbl_sales3[[#This Row],[Sale_Price]]&lt;1000000,"Mid-Range",
"Luxury"))</f>
        <v>Mid-Range</v>
      </c>
      <c r="R33" s="4">
        <f>IFERROR(tbl_sales3[[#This Row],[Sale_Price]]*tbl_sales3[[#This Row],[Commission_Rate]],0)</f>
        <v>25772.039999999997</v>
      </c>
      <c r="S33" t="str">
        <f>IF(ABS(tbl_sales3[[#This Row],[Commission_Earned]]-tbl_sales3[[#This Row],[Calculated_Commission]])&lt;0.02,"Correct","Mismatch")</f>
        <v>Correct</v>
      </c>
      <c r="T33">
        <f>YEAR(tbl_sales3[[#This Row],[Sale_Date]])</f>
        <v>2023</v>
      </c>
      <c r="U33" s="1" t="str">
        <f>TEXT(tbl_sales3[[#This Row],[Sale_Date]],"mmmm")</f>
        <v>August</v>
      </c>
      <c r="V33" s="2">
        <f>EOMONTH(tbl_sales3[[#This Row],[Sale_Date]],0)</f>
        <v>45169</v>
      </c>
      <c r="W33" s="1" t="str">
        <f>IF(AND(tbl_sales3[[#This Row],[Sale_Price]]&gt;1000000,tbl_sales3[[#This Row],[Days_on_Market]]&lt;30),"High Demand","Normal")</f>
        <v>Normal</v>
      </c>
    </row>
    <row r="34" spans="1:23" x14ac:dyDescent="0.3">
      <c r="A34" s="1" t="s">
        <v>72</v>
      </c>
      <c r="B34" s="1" t="s">
        <v>48</v>
      </c>
      <c r="C34" s="1" t="s">
        <v>35</v>
      </c>
      <c r="D34">
        <v>1</v>
      </c>
      <c r="E34">
        <v>3</v>
      </c>
      <c r="F34">
        <v>1146</v>
      </c>
      <c r="G34">
        <v>1661392</v>
      </c>
      <c r="H34">
        <v>1614013</v>
      </c>
      <c r="I34" s="2">
        <v>45485</v>
      </c>
      <c r="J34" s="2">
        <v>45557</v>
      </c>
      <c r="K34">
        <v>72</v>
      </c>
      <c r="L34" s="1" t="s">
        <v>51</v>
      </c>
      <c r="M34" s="1" t="s">
        <v>20</v>
      </c>
      <c r="N34">
        <v>0.05</v>
      </c>
      <c r="O34">
        <v>80700.649999999994</v>
      </c>
      <c r="P34">
        <v>-47379</v>
      </c>
      <c r="Q34" t="str">
        <f>IF(tbl_sales3[[#This Row],[Sale_Price]]&lt;500000,"Budget",
IF(tbl_sales3[[#This Row],[Sale_Price]]&lt;1000000,"Mid-Range",
"Luxury"))</f>
        <v>Luxury</v>
      </c>
      <c r="R34" s="4">
        <f>IFERROR(tbl_sales3[[#This Row],[Sale_Price]]*tbl_sales3[[#This Row],[Commission_Rate]],0)</f>
        <v>80700.650000000009</v>
      </c>
      <c r="S34" t="str">
        <f>IF(ABS(tbl_sales3[[#This Row],[Commission_Earned]]-tbl_sales3[[#This Row],[Calculated_Commission]])&lt;0.02,"Correct","Mismatch")</f>
        <v>Correct</v>
      </c>
      <c r="T34">
        <f>YEAR(tbl_sales3[[#This Row],[Sale_Date]])</f>
        <v>2024</v>
      </c>
      <c r="U34" s="1" t="str">
        <f>TEXT(tbl_sales3[[#This Row],[Sale_Date]],"mmmm")</f>
        <v>September</v>
      </c>
      <c r="V34" s="2">
        <f>EOMONTH(tbl_sales3[[#This Row],[Sale_Date]],0)</f>
        <v>45565</v>
      </c>
      <c r="W34" s="1" t="str">
        <f>IF(AND(tbl_sales3[[#This Row],[Sale_Price]]&gt;1000000,tbl_sales3[[#This Row],[Days_on_Market]]&lt;30),"High Demand","Normal")</f>
        <v>Normal</v>
      </c>
    </row>
    <row r="35" spans="1:23" x14ac:dyDescent="0.3">
      <c r="A35" s="1" t="s">
        <v>73</v>
      </c>
      <c r="B35" s="1" t="s">
        <v>37</v>
      </c>
      <c r="C35" s="1" t="s">
        <v>35</v>
      </c>
      <c r="D35">
        <v>4</v>
      </c>
      <c r="E35">
        <v>1</v>
      </c>
      <c r="F35">
        <v>1169</v>
      </c>
      <c r="G35">
        <v>800221</v>
      </c>
      <c r="H35">
        <v>784097</v>
      </c>
      <c r="I35" s="2">
        <v>45387</v>
      </c>
      <c r="J35" s="2">
        <v>45419</v>
      </c>
      <c r="K35">
        <v>32</v>
      </c>
      <c r="L35" s="1" t="s">
        <v>51</v>
      </c>
      <c r="M35" s="1" t="s">
        <v>20</v>
      </c>
      <c r="N35">
        <v>0.04</v>
      </c>
      <c r="O35">
        <v>31363.88</v>
      </c>
      <c r="P35">
        <v>-16124</v>
      </c>
      <c r="Q35" t="str">
        <f>IF(tbl_sales3[[#This Row],[Sale_Price]]&lt;500000,"Budget",
IF(tbl_sales3[[#This Row],[Sale_Price]]&lt;1000000,"Mid-Range",
"Luxury"))</f>
        <v>Mid-Range</v>
      </c>
      <c r="R35" s="4">
        <f>IFERROR(tbl_sales3[[#This Row],[Sale_Price]]*tbl_sales3[[#This Row],[Commission_Rate]],0)</f>
        <v>31363.88</v>
      </c>
      <c r="S35" t="str">
        <f>IF(ABS(tbl_sales3[[#This Row],[Commission_Earned]]-tbl_sales3[[#This Row],[Calculated_Commission]])&lt;0.02,"Correct","Mismatch")</f>
        <v>Correct</v>
      </c>
      <c r="T35">
        <f>YEAR(tbl_sales3[[#This Row],[Sale_Date]])</f>
        <v>2024</v>
      </c>
      <c r="U35" s="1" t="str">
        <f>TEXT(tbl_sales3[[#This Row],[Sale_Date]],"mmmm")</f>
        <v>May</v>
      </c>
      <c r="V35" s="2">
        <f>EOMONTH(tbl_sales3[[#This Row],[Sale_Date]],0)</f>
        <v>45443</v>
      </c>
      <c r="W35" s="1" t="str">
        <f>IF(AND(tbl_sales3[[#This Row],[Sale_Price]]&gt;1000000,tbl_sales3[[#This Row],[Days_on_Market]]&lt;30),"High Demand","Normal")</f>
        <v>Normal</v>
      </c>
    </row>
    <row r="36" spans="1:23" x14ac:dyDescent="0.3">
      <c r="A36" s="1" t="s">
        <v>74</v>
      </c>
      <c r="B36" s="1" t="s">
        <v>37</v>
      </c>
      <c r="C36" s="1" t="s">
        <v>38</v>
      </c>
      <c r="D36">
        <v>4</v>
      </c>
      <c r="E36">
        <v>1</v>
      </c>
      <c r="F36">
        <v>2553</v>
      </c>
      <c r="G36">
        <v>563416</v>
      </c>
      <c r="H36">
        <v>520533</v>
      </c>
      <c r="I36" s="2">
        <v>45167</v>
      </c>
      <c r="J36" s="2">
        <v>45235</v>
      </c>
      <c r="K36">
        <v>68</v>
      </c>
      <c r="L36" s="1" t="s">
        <v>27</v>
      </c>
      <c r="M36" s="1" t="s">
        <v>24</v>
      </c>
      <c r="N36">
        <v>0.04</v>
      </c>
      <c r="O36">
        <v>20821.32</v>
      </c>
      <c r="P36">
        <v>-42883</v>
      </c>
      <c r="Q36" t="str">
        <f>IF(tbl_sales3[[#This Row],[Sale_Price]]&lt;500000,"Budget",
IF(tbl_sales3[[#This Row],[Sale_Price]]&lt;1000000,"Mid-Range",
"Luxury"))</f>
        <v>Mid-Range</v>
      </c>
      <c r="R36" s="4">
        <f>IFERROR(tbl_sales3[[#This Row],[Sale_Price]]*tbl_sales3[[#This Row],[Commission_Rate]],0)</f>
        <v>20821.32</v>
      </c>
      <c r="S36" t="str">
        <f>IF(ABS(tbl_sales3[[#This Row],[Commission_Earned]]-tbl_sales3[[#This Row],[Calculated_Commission]])&lt;0.02,"Correct","Mismatch")</f>
        <v>Correct</v>
      </c>
      <c r="T36">
        <f>YEAR(tbl_sales3[[#This Row],[Sale_Date]])</f>
        <v>2023</v>
      </c>
      <c r="U36" s="1" t="str">
        <f>TEXT(tbl_sales3[[#This Row],[Sale_Date]],"mmmm")</f>
        <v>November</v>
      </c>
      <c r="V36" s="2">
        <f>EOMONTH(tbl_sales3[[#This Row],[Sale_Date]],0)</f>
        <v>45260</v>
      </c>
      <c r="W36" s="1" t="str">
        <f>IF(AND(tbl_sales3[[#This Row],[Sale_Price]]&gt;1000000,tbl_sales3[[#This Row],[Days_on_Market]]&lt;30),"High Demand","Normal")</f>
        <v>Normal</v>
      </c>
    </row>
    <row r="37" spans="1:23" x14ac:dyDescent="0.3">
      <c r="A37" s="1" t="s">
        <v>75</v>
      </c>
      <c r="B37" s="1" t="s">
        <v>37</v>
      </c>
      <c r="C37" s="1" t="s">
        <v>33</v>
      </c>
      <c r="D37">
        <v>3</v>
      </c>
      <c r="E37">
        <v>2</v>
      </c>
      <c r="F37">
        <v>2166</v>
      </c>
      <c r="G37">
        <v>1103961</v>
      </c>
      <c r="H37">
        <v>1033890</v>
      </c>
      <c r="I37" s="2">
        <v>45302</v>
      </c>
      <c r="J37" s="2">
        <v>45353</v>
      </c>
      <c r="K37">
        <v>51</v>
      </c>
      <c r="L37" s="1" t="s">
        <v>42</v>
      </c>
      <c r="M37" s="1" t="s">
        <v>28</v>
      </c>
      <c r="N37">
        <v>0.04</v>
      </c>
      <c r="O37">
        <v>41355.599999999999</v>
      </c>
      <c r="P37">
        <v>-70071</v>
      </c>
      <c r="Q37" t="str">
        <f>IF(tbl_sales3[[#This Row],[Sale_Price]]&lt;500000,"Budget",
IF(tbl_sales3[[#This Row],[Sale_Price]]&lt;1000000,"Mid-Range",
"Luxury"))</f>
        <v>Luxury</v>
      </c>
      <c r="R37" s="4">
        <f>IFERROR(tbl_sales3[[#This Row],[Sale_Price]]*tbl_sales3[[#This Row],[Commission_Rate]],0)</f>
        <v>41355.599999999999</v>
      </c>
      <c r="S37" t="str">
        <f>IF(ABS(tbl_sales3[[#This Row],[Commission_Earned]]-tbl_sales3[[#This Row],[Calculated_Commission]])&lt;0.02,"Correct","Mismatch")</f>
        <v>Correct</v>
      </c>
      <c r="T37">
        <f>YEAR(tbl_sales3[[#This Row],[Sale_Date]])</f>
        <v>2024</v>
      </c>
      <c r="U37" s="1" t="str">
        <f>TEXT(tbl_sales3[[#This Row],[Sale_Date]],"mmmm")</f>
        <v>March</v>
      </c>
      <c r="V37" s="2">
        <f>EOMONTH(tbl_sales3[[#This Row],[Sale_Date]],0)</f>
        <v>45382</v>
      </c>
      <c r="W37" s="1" t="str">
        <f>IF(AND(tbl_sales3[[#This Row],[Sale_Price]]&gt;1000000,tbl_sales3[[#This Row],[Days_on_Market]]&lt;30),"High Demand","Normal")</f>
        <v>Normal</v>
      </c>
    </row>
    <row r="38" spans="1:23" x14ac:dyDescent="0.3">
      <c r="A38" s="1" t="s">
        <v>76</v>
      </c>
      <c r="B38" s="1" t="s">
        <v>59</v>
      </c>
      <c r="C38" s="1" t="s">
        <v>38</v>
      </c>
      <c r="D38">
        <v>3</v>
      </c>
      <c r="E38">
        <v>3</v>
      </c>
      <c r="F38">
        <v>2036</v>
      </c>
      <c r="G38">
        <v>1372020</v>
      </c>
      <c r="H38">
        <v>1345553</v>
      </c>
      <c r="I38" s="2">
        <v>45066</v>
      </c>
      <c r="J38" s="2">
        <v>45154</v>
      </c>
      <c r="K38">
        <v>88</v>
      </c>
      <c r="L38" s="1" t="s">
        <v>19</v>
      </c>
      <c r="M38" s="1" t="s">
        <v>28</v>
      </c>
      <c r="N38">
        <v>0.05</v>
      </c>
      <c r="O38">
        <v>67277.649999999994</v>
      </c>
      <c r="P38">
        <v>-26467</v>
      </c>
      <c r="Q38" t="str">
        <f>IF(tbl_sales3[[#This Row],[Sale_Price]]&lt;500000,"Budget",
IF(tbl_sales3[[#This Row],[Sale_Price]]&lt;1000000,"Mid-Range",
"Luxury"))</f>
        <v>Luxury</v>
      </c>
      <c r="R38" s="4">
        <f>IFERROR(tbl_sales3[[#This Row],[Sale_Price]]*tbl_sales3[[#This Row],[Commission_Rate]],0)</f>
        <v>67277.650000000009</v>
      </c>
      <c r="S38" t="str">
        <f>IF(ABS(tbl_sales3[[#This Row],[Commission_Earned]]-tbl_sales3[[#This Row],[Calculated_Commission]])&lt;0.02,"Correct","Mismatch")</f>
        <v>Correct</v>
      </c>
      <c r="T38">
        <f>YEAR(tbl_sales3[[#This Row],[Sale_Date]])</f>
        <v>2023</v>
      </c>
      <c r="U38" s="1" t="str">
        <f>TEXT(tbl_sales3[[#This Row],[Sale_Date]],"mmmm")</f>
        <v>August</v>
      </c>
      <c r="V38" s="2">
        <f>EOMONTH(tbl_sales3[[#This Row],[Sale_Date]],0)</f>
        <v>45169</v>
      </c>
      <c r="W38" s="1" t="str">
        <f>IF(AND(tbl_sales3[[#This Row],[Sale_Price]]&gt;1000000,tbl_sales3[[#This Row],[Days_on_Market]]&lt;30),"High Demand","Normal")</f>
        <v>Normal</v>
      </c>
    </row>
    <row r="39" spans="1:23" x14ac:dyDescent="0.3">
      <c r="A39" s="1" t="s">
        <v>77</v>
      </c>
      <c r="B39" s="1" t="s">
        <v>22</v>
      </c>
      <c r="C39" s="1" t="s">
        <v>23</v>
      </c>
      <c r="D39">
        <v>2</v>
      </c>
      <c r="E39">
        <v>2</v>
      </c>
      <c r="F39">
        <v>1653</v>
      </c>
      <c r="G39">
        <v>1254121</v>
      </c>
      <c r="H39">
        <v>1201214</v>
      </c>
      <c r="I39" s="2">
        <v>45442</v>
      </c>
      <c r="J39" s="2">
        <v>45460</v>
      </c>
      <c r="K39">
        <v>18</v>
      </c>
      <c r="L39" s="1" t="s">
        <v>42</v>
      </c>
      <c r="M39" s="1" t="s">
        <v>24</v>
      </c>
      <c r="N39">
        <v>0.04</v>
      </c>
      <c r="O39">
        <v>48048.56</v>
      </c>
      <c r="P39">
        <v>-52907</v>
      </c>
      <c r="Q39" t="str">
        <f>IF(tbl_sales3[[#This Row],[Sale_Price]]&lt;500000,"Budget",
IF(tbl_sales3[[#This Row],[Sale_Price]]&lt;1000000,"Mid-Range",
"Luxury"))</f>
        <v>Luxury</v>
      </c>
      <c r="R39" s="4">
        <f>IFERROR(tbl_sales3[[#This Row],[Sale_Price]]*tbl_sales3[[#This Row],[Commission_Rate]],0)</f>
        <v>48048.56</v>
      </c>
      <c r="S39" t="str">
        <f>IF(ABS(tbl_sales3[[#This Row],[Commission_Earned]]-tbl_sales3[[#This Row],[Calculated_Commission]])&lt;0.02,"Correct","Mismatch")</f>
        <v>Correct</v>
      </c>
      <c r="T39">
        <f>YEAR(tbl_sales3[[#This Row],[Sale_Date]])</f>
        <v>2024</v>
      </c>
      <c r="U39" s="1" t="str">
        <f>TEXT(tbl_sales3[[#This Row],[Sale_Date]],"mmmm")</f>
        <v>June</v>
      </c>
      <c r="V39" s="2">
        <f>EOMONTH(tbl_sales3[[#This Row],[Sale_Date]],0)</f>
        <v>45473</v>
      </c>
      <c r="W39" s="1" t="str">
        <f>IF(AND(tbl_sales3[[#This Row],[Sale_Price]]&gt;1000000,tbl_sales3[[#This Row],[Days_on_Market]]&lt;30),"High Demand","Normal")</f>
        <v>High Demand</v>
      </c>
    </row>
    <row r="40" spans="1:23" x14ac:dyDescent="0.3">
      <c r="A40" s="1" t="s">
        <v>78</v>
      </c>
      <c r="B40" s="1" t="s">
        <v>37</v>
      </c>
      <c r="C40" s="1" t="s">
        <v>38</v>
      </c>
      <c r="D40">
        <v>4</v>
      </c>
      <c r="E40">
        <v>3</v>
      </c>
      <c r="F40">
        <v>1710</v>
      </c>
      <c r="G40">
        <v>871753</v>
      </c>
      <c r="H40">
        <v>792511</v>
      </c>
      <c r="I40" s="2">
        <v>45196</v>
      </c>
      <c r="J40" s="2">
        <v>45255</v>
      </c>
      <c r="K40">
        <v>59</v>
      </c>
      <c r="L40" s="1" t="s">
        <v>39</v>
      </c>
      <c r="M40" s="1" t="s">
        <v>28</v>
      </c>
      <c r="N40">
        <v>0.04</v>
      </c>
      <c r="O40">
        <v>31700.44</v>
      </c>
      <c r="P40">
        <v>-79242</v>
      </c>
      <c r="Q40" t="str">
        <f>IF(tbl_sales3[[#This Row],[Sale_Price]]&lt;500000,"Budget",
IF(tbl_sales3[[#This Row],[Sale_Price]]&lt;1000000,"Mid-Range",
"Luxury"))</f>
        <v>Mid-Range</v>
      </c>
      <c r="R40" s="4">
        <f>IFERROR(tbl_sales3[[#This Row],[Sale_Price]]*tbl_sales3[[#This Row],[Commission_Rate]],0)</f>
        <v>31700.440000000002</v>
      </c>
      <c r="S40" t="str">
        <f>IF(ABS(tbl_sales3[[#This Row],[Commission_Earned]]-tbl_sales3[[#This Row],[Calculated_Commission]])&lt;0.02,"Correct","Mismatch")</f>
        <v>Correct</v>
      </c>
      <c r="T40">
        <f>YEAR(tbl_sales3[[#This Row],[Sale_Date]])</f>
        <v>2023</v>
      </c>
      <c r="U40" s="1" t="str">
        <f>TEXT(tbl_sales3[[#This Row],[Sale_Date]],"mmmm")</f>
        <v>November</v>
      </c>
      <c r="V40" s="2">
        <f>EOMONTH(tbl_sales3[[#This Row],[Sale_Date]],0)</f>
        <v>45260</v>
      </c>
      <c r="W40" s="1" t="str">
        <f>IF(AND(tbl_sales3[[#This Row],[Sale_Price]]&gt;1000000,tbl_sales3[[#This Row],[Days_on_Market]]&lt;30),"High Demand","Normal")</f>
        <v>Normal</v>
      </c>
    </row>
    <row r="41" spans="1:23" x14ac:dyDescent="0.3">
      <c r="A41" s="1" t="s">
        <v>79</v>
      </c>
      <c r="B41" s="1" t="s">
        <v>37</v>
      </c>
      <c r="C41" s="1" t="s">
        <v>33</v>
      </c>
      <c r="D41">
        <v>1</v>
      </c>
      <c r="E41">
        <v>4</v>
      </c>
      <c r="F41">
        <v>3057</v>
      </c>
      <c r="G41">
        <v>1415024</v>
      </c>
      <c r="H41">
        <v>1374245</v>
      </c>
      <c r="I41" s="2">
        <v>45368</v>
      </c>
      <c r="J41" s="2">
        <v>45435</v>
      </c>
      <c r="K41">
        <v>67</v>
      </c>
      <c r="L41" s="1" t="s">
        <v>39</v>
      </c>
      <c r="M41" s="1" t="s">
        <v>28</v>
      </c>
      <c r="N41">
        <v>0.05</v>
      </c>
      <c r="O41">
        <v>68712.25</v>
      </c>
      <c r="P41">
        <v>-40779</v>
      </c>
      <c r="Q41" t="str">
        <f>IF(tbl_sales3[[#This Row],[Sale_Price]]&lt;500000,"Budget",
IF(tbl_sales3[[#This Row],[Sale_Price]]&lt;1000000,"Mid-Range",
"Luxury"))</f>
        <v>Luxury</v>
      </c>
      <c r="R41" s="4">
        <f>IFERROR(tbl_sales3[[#This Row],[Sale_Price]]*tbl_sales3[[#This Row],[Commission_Rate]],0)</f>
        <v>68712.25</v>
      </c>
      <c r="S41" t="str">
        <f>IF(ABS(tbl_sales3[[#This Row],[Commission_Earned]]-tbl_sales3[[#This Row],[Calculated_Commission]])&lt;0.02,"Correct","Mismatch")</f>
        <v>Correct</v>
      </c>
      <c r="T41">
        <f>YEAR(tbl_sales3[[#This Row],[Sale_Date]])</f>
        <v>2024</v>
      </c>
      <c r="U41" s="1" t="str">
        <f>TEXT(tbl_sales3[[#This Row],[Sale_Date]],"mmmm")</f>
        <v>May</v>
      </c>
      <c r="V41" s="2">
        <f>EOMONTH(tbl_sales3[[#This Row],[Sale_Date]],0)</f>
        <v>45443</v>
      </c>
      <c r="W41" s="1" t="str">
        <f>IF(AND(tbl_sales3[[#This Row],[Sale_Price]]&gt;1000000,tbl_sales3[[#This Row],[Days_on_Market]]&lt;30),"High Demand","Normal")</f>
        <v>Normal</v>
      </c>
    </row>
    <row r="42" spans="1:23" x14ac:dyDescent="0.3">
      <c r="A42" s="1" t="s">
        <v>80</v>
      </c>
      <c r="B42" s="1" t="s">
        <v>41</v>
      </c>
      <c r="C42" s="1" t="s">
        <v>35</v>
      </c>
      <c r="D42">
        <v>3</v>
      </c>
      <c r="E42">
        <v>1</v>
      </c>
      <c r="F42">
        <v>2380</v>
      </c>
      <c r="G42">
        <v>1594889</v>
      </c>
      <c r="H42">
        <v>1568352</v>
      </c>
      <c r="I42" s="2">
        <v>45299</v>
      </c>
      <c r="J42" s="2">
        <v>45358</v>
      </c>
      <c r="K42">
        <v>59</v>
      </c>
      <c r="L42" s="1" t="s">
        <v>19</v>
      </c>
      <c r="M42" s="1" t="s">
        <v>28</v>
      </c>
      <c r="N42">
        <v>4.4999999999999998E-2</v>
      </c>
      <c r="O42">
        <v>70575.839999999997</v>
      </c>
      <c r="P42">
        <v>-26537</v>
      </c>
      <c r="Q42" t="str">
        <f>IF(tbl_sales3[[#This Row],[Sale_Price]]&lt;500000,"Budget",
IF(tbl_sales3[[#This Row],[Sale_Price]]&lt;1000000,"Mid-Range",
"Luxury"))</f>
        <v>Luxury</v>
      </c>
      <c r="R42" s="4">
        <f>IFERROR(tbl_sales3[[#This Row],[Sale_Price]]*tbl_sales3[[#This Row],[Commission_Rate]],0)</f>
        <v>70575.839999999997</v>
      </c>
      <c r="S42" t="str">
        <f>IF(ABS(tbl_sales3[[#This Row],[Commission_Earned]]-tbl_sales3[[#This Row],[Calculated_Commission]])&lt;0.02,"Correct","Mismatch")</f>
        <v>Correct</v>
      </c>
      <c r="T42">
        <f>YEAR(tbl_sales3[[#This Row],[Sale_Date]])</f>
        <v>2024</v>
      </c>
      <c r="U42" s="1" t="str">
        <f>TEXT(tbl_sales3[[#This Row],[Sale_Date]],"mmmm")</f>
        <v>March</v>
      </c>
      <c r="V42" s="2">
        <f>EOMONTH(tbl_sales3[[#This Row],[Sale_Date]],0)</f>
        <v>45382</v>
      </c>
      <c r="W42" s="1" t="str">
        <f>IF(AND(tbl_sales3[[#This Row],[Sale_Price]]&gt;1000000,tbl_sales3[[#This Row],[Days_on_Market]]&lt;30),"High Demand","Normal")</f>
        <v>Normal</v>
      </c>
    </row>
    <row r="43" spans="1:23" x14ac:dyDescent="0.3">
      <c r="A43" s="1" t="s">
        <v>81</v>
      </c>
      <c r="B43" s="1" t="s">
        <v>59</v>
      </c>
      <c r="C43" s="1" t="s">
        <v>38</v>
      </c>
      <c r="D43">
        <v>3</v>
      </c>
      <c r="E43">
        <v>4</v>
      </c>
      <c r="F43">
        <v>1828</v>
      </c>
      <c r="G43">
        <v>598458</v>
      </c>
      <c r="H43">
        <v>548566</v>
      </c>
      <c r="I43" s="2">
        <v>45583</v>
      </c>
      <c r="J43" s="2">
        <v>45595</v>
      </c>
      <c r="K43">
        <v>12</v>
      </c>
      <c r="L43" s="1" t="s">
        <v>30</v>
      </c>
      <c r="M43" s="1" t="s">
        <v>28</v>
      </c>
      <c r="N43">
        <v>0.04</v>
      </c>
      <c r="O43">
        <v>21942.639999999999</v>
      </c>
      <c r="P43">
        <v>-49892</v>
      </c>
      <c r="Q43" t="str">
        <f>IF(tbl_sales3[[#This Row],[Sale_Price]]&lt;500000,"Budget",
IF(tbl_sales3[[#This Row],[Sale_Price]]&lt;1000000,"Mid-Range",
"Luxury"))</f>
        <v>Mid-Range</v>
      </c>
      <c r="R43" s="4">
        <f>IFERROR(tbl_sales3[[#This Row],[Sale_Price]]*tbl_sales3[[#This Row],[Commission_Rate]],0)</f>
        <v>21942.639999999999</v>
      </c>
      <c r="S43" t="str">
        <f>IF(ABS(tbl_sales3[[#This Row],[Commission_Earned]]-tbl_sales3[[#This Row],[Calculated_Commission]])&lt;0.02,"Correct","Mismatch")</f>
        <v>Correct</v>
      </c>
      <c r="T43">
        <f>YEAR(tbl_sales3[[#This Row],[Sale_Date]])</f>
        <v>2024</v>
      </c>
      <c r="U43" s="1" t="str">
        <f>TEXT(tbl_sales3[[#This Row],[Sale_Date]],"mmmm")</f>
        <v>October</v>
      </c>
      <c r="V43" s="2">
        <f>EOMONTH(tbl_sales3[[#This Row],[Sale_Date]],0)</f>
        <v>45596</v>
      </c>
      <c r="W43" s="1" t="str">
        <f>IF(AND(tbl_sales3[[#This Row],[Sale_Price]]&gt;1000000,tbl_sales3[[#This Row],[Days_on_Market]]&lt;30),"High Demand","Normal")</f>
        <v>Normal</v>
      </c>
    </row>
    <row r="44" spans="1:23" x14ac:dyDescent="0.3">
      <c r="A44" s="1" t="s">
        <v>82</v>
      </c>
      <c r="B44" s="1" t="s">
        <v>41</v>
      </c>
      <c r="C44" s="1" t="s">
        <v>23</v>
      </c>
      <c r="D44">
        <v>5</v>
      </c>
      <c r="E44">
        <v>4</v>
      </c>
      <c r="F44">
        <v>2339</v>
      </c>
      <c r="G44">
        <v>1071759</v>
      </c>
      <c r="H44">
        <v>1070235</v>
      </c>
      <c r="I44" s="2">
        <v>45570</v>
      </c>
      <c r="J44" s="2">
        <v>45656</v>
      </c>
      <c r="K44">
        <v>86</v>
      </c>
      <c r="L44" s="1" t="s">
        <v>30</v>
      </c>
      <c r="M44" s="1" t="s">
        <v>24</v>
      </c>
      <c r="N44">
        <v>0.05</v>
      </c>
      <c r="O44">
        <v>53511.75</v>
      </c>
      <c r="P44">
        <v>-1524</v>
      </c>
      <c r="Q44" t="str">
        <f>IF(tbl_sales3[[#This Row],[Sale_Price]]&lt;500000,"Budget",
IF(tbl_sales3[[#This Row],[Sale_Price]]&lt;1000000,"Mid-Range",
"Luxury"))</f>
        <v>Luxury</v>
      </c>
      <c r="R44" s="4">
        <f>IFERROR(tbl_sales3[[#This Row],[Sale_Price]]*tbl_sales3[[#This Row],[Commission_Rate]],0)</f>
        <v>53511.75</v>
      </c>
      <c r="S44" t="str">
        <f>IF(ABS(tbl_sales3[[#This Row],[Commission_Earned]]-tbl_sales3[[#This Row],[Calculated_Commission]])&lt;0.02,"Correct","Mismatch")</f>
        <v>Correct</v>
      </c>
      <c r="T44">
        <f>YEAR(tbl_sales3[[#This Row],[Sale_Date]])</f>
        <v>2024</v>
      </c>
      <c r="U44" s="1" t="str">
        <f>TEXT(tbl_sales3[[#This Row],[Sale_Date]],"mmmm")</f>
        <v>December</v>
      </c>
      <c r="V44" s="2">
        <f>EOMONTH(tbl_sales3[[#This Row],[Sale_Date]],0)</f>
        <v>45657</v>
      </c>
      <c r="W44" s="1" t="str">
        <f>IF(AND(tbl_sales3[[#This Row],[Sale_Price]]&gt;1000000,tbl_sales3[[#This Row],[Days_on_Market]]&lt;30),"High Demand","Normal")</f>
        <v>Normal</v>
      </c>
    </row>
    <row r="45" spans="1:23" x14ac:dyDescent="0.3">
      <c r="A45" s="1" t="s">
        <v>83</v>
      </c>
      <c r="B45" s="1" t="s">
        <v>37</v>
      </c>
      <c r="C45" s="1" t="s">
        <v>18</v>
      </c>
      <c r="D45">
        <v>3</v>
      </c>
      <c r="E45">
        <v>3</v>
      </c>
      <c r="F45">
        <v>2554</v>
      </c>
      <c r="G45">
        <v>1244772</v>
      </c>
      <c r="H45">
        <v>1191476</v>
      </c>
      <c r="I45" s="2">
        <v>45080</v>
      </c>
      <c r="J45" s="2">
        <v>45109</v>
      </c>
      <c r="K45">
        <v>29</v>
      </c>
      <c r="L45" s="1" t="s">
        <v>30</v>
      </c>
      <c r="M45" s="1" t="s">
        <v>24</v>
      </c>
      <c r="N45">
        <v>0.05</v>
      </c>
      <c r="O45">
        <v>59573.8</v>
      </c>
      <c r="P45">
        <v>-53296</v>
      </c>
      <c r="Q45" t="str">
        <f>IF(tbl_sales3[[#This Row],[Sale_Price]]&lt;500000,"Budget",
IF(tbl_sales3[[#This Row],[Sale_Price]]&lt;1000000,"Mid-Range",
"Luxury"))</f>
        <v>Luxury</v>
      </c>
      <c r="R45" s="4">
        <f>IFERROR(tbl_sales3[[#This Row],[Sale_Price]]*tbl_sales3[[#This Row],[Commission_Rate]],0)</f>
        <v>59573.8</v>
      </c>
      <c r="S45" t="str">
        <f>IF(ABS(tbl_sales3[[#This Row],[Commission_Earned]]-tbl_sales3[[#This Row],[Calculated_Commission]])&lt;0.02,"Correct","Mismatch")</f>
        <v>Correct</v>
      </c>
      <c r="T45">
        <f>YEAR(tbl_sales3[[#This Row],[Sale_Date]])</f>
        <v>2023</v>
      </c>
      <c r="U45" s="1" t="str">
        <f>TEXT(tbl_sales3[[#This Row],[Sale_Date]],"mmmm")</f>
        <v>July</v>
      </c>
      <c r="V45" s="2">
        <f>EOMONTH(tbl_sales3[[#This Row],[Sale_Date]],0)</f>
        <v>45138</v>
      </c>
      <c r="W45" s="1" t="str">
        <f>IF(AND(tbl_sales3[[#This Row],[Sale_Price]]&gt;1000000,tbl_sales3[[#This Row],[Days_on_Market]]&lt;30),"High Demand","Normal")</f>
        <v>High Demand</v>
      </c>
    </row>
    <row r="46" spans="1:23" x14ac:dyDescent="0.3">
      <c r="A46" s="1" t="s">
        <v>84</v>
      </c>
      <c r="B46" s="1" t="s">
        <v>17</v>
      </c>
      <c r="C46" s="1" t="s">
        <v>23</v>
      </c>
      <c r="D46">
        <v>3</v>
      </c>
      <c r="E46">
        <v>3</v>
      </c>
      <c r="F46">
        <v>1289</v>
      </c>
      <c r="G46">
        <v>1014074</v>
      </c>
      <c r="H46">
        <v>964814</v>
      </c>
      <c r="I46" s="2">
        <v>45550</v>
      </c>
      <c r="J46" s="2">
        <v>45625</v>
      </c>
      <c r="K46">
        <v>75</v>
      </c>
      <c r="L46" s="1" t="s">
        <v>53</v>
      </c>
      <c r="M46" s="1" t="s">
        <v>28</v>
      </c>
      <c r="N46">
        <v>4.4999999999999998E-2</v>
      </c>
      <c r="O46">
        <v>43416.63</v>
      </c>
      <c r="P46">
        <v>-49260</v>
      </c>
      <c r="Q46" t="str">
        <f>IF(tbl_sales3[[#This Row],[Sale_Price]]&lt;500000,"Budget",
IF(tbl_sales3[[#This Row],[Sale_Price]]&lt;1000000,"Mid-Range",
"Luxury"))</f>
        <v>Mid-Range</v>
      </c>
      <c r="R46" s="4">
        <f>IFERROR(tbl_sales3[[#This Row],[Sale_Price]]*tbl_sales3[[#This Row],[Commission_Rate]],0)</f>
        <v>43416.63</v>
      </c>
      <c r="S46" t="str">
        <f>IF(ABS(tbl_sales3[[#This Row],[Commission_Earned]]-tbl_sales3[[#This Row],[Calculated_Commission]])&lt;0.02,"Correct","Mismatch")</f>
        <v>Correct</v>
      </c>
      <c r="T46">
        <f>YEAR(tbl_sales3[[#This Row],[Sale_Date]])</f>
        <v>2024</v>
      </c>
      <c r="U46" s="1" t="str">
        <f>TEXT(tbl_sales3[[#This Row],[Sale_Date]],"mmmm")</f>
        <v>November</v>
      </c>
      <c r="V46" s="2">
        <f>EOMONTH(tbl_sales3[[#This Row],[Sale_Date]],0)</f>
        <v>45626</v>
      </c>
      <c r="W46" s="1" t="str">
        <f>IF(AND(tbl_sales3[[#This Row],[Sale_Price]]&gt;1000000,tbl_sales3[[#This Row],[Days_on_Market]]&lt;30),"High Demand","Normal")</f>
        <v>Normal</v>
      </c>
    </row>
    <row r="47" spans="1:23" x14ac:dyDescent="0.3">
      <c r="A47" s="1" t="s">
        <v>85</v>
      </c>
      <c r="B47" s="1" t="s">
        <v>32</v>
      </c>
      <c r="C47" s="1" t="s">
        <v>23</v>
      </c>
      <c r="D47">
        <v>2</v>
      </c>
      <c r="E47">
        <v>3</v>
      </c>
      <c r="F47">
        <v>2888</v>
      </c>
      <c r="G47">
        <v>1363630</v>
      </c>
      <c r="H47">
        <v>1358303</v>
      </c>
      <c r="I47" s="2">
        <v>44947</v>
      </c>
      <c r="J47" s="2">
        <v>45026</v>
      </c>
      <c r="K47">
        <v>79</v>
      </c>
      <c r="L47" s="1" t="s">
        <v>42</v>
      </c>
      <c r="M47" s="1" t="s">
        <v>24</v>
      </c>
      <c r="N47">
        <v>0.05</v>
      </c>
      <c r="O47">
        <v>67915.149999999994</v>
      </c>
      <c r="P47">
        <v>-5327</v>
      </c>
      <c r="Q47" t="str">
        <f>IF(tbl_sales3[[#This Row],[Sale_Price]]&lt;500000,"Budget",
IF(tbl_sales3[[#This Row],[Sale_Price]]&lt;1000000,"Mid-Range",
"Luxury"))</f>
        <v>Luxury</v>
      </c>
      <c r="R47" s="4">
        <f>IFERROR(tbl_sales3[[#This Row],[Sale_Price]]*tbl_sales3[[#This Row],[Commission_Rate]],0)</f>
        <v>67915.150000000009</v>
      </c>
      <c r="S47" t="str">
        <f>IF(ABS(tbl_sales3[[#This Row],[Commission_Earned]]-tbl_sales3[[#This Row],[Calculated_Commission]])&lt;0.02,"Correct","Mismatch")</f>
        <v>Correct</v>
      </c>
      <c r="T47">
        <f>YEAR(tbl_sales3[[#This Row],[Sale_Date]])</f>
        <v>2023</v>
      </c>
      <c r="U47" s="1" t="str">
        <f>TEXT(tbl_sales3[[#This Row],[Sale_Date]],"mmmm")</f>
        <v>April</v>
      </c>
      <c r="V47" s="2">
        <f>EOMONTH(tbl_sales3[[#This Row],[Sale_Date]],0)</f>
        <v>45046</v>
      </c>
      <c r="W47" s="1" t="str">
        <f>IF(AND(tbl_sales3[[#This Row],[Sale_Price]]&gt;1000000,tbl_sales3[[#This Row],[Days_on_Market]]&lt;30),"High Demand","Normal")</f>
        <v>Normal</v>
      </c>
    </row>
    <row r="48" spans="1:23" x14ac:dyDescent="0.3">
      <c r="A48" s="1" t="s">
        <v>86</v>
      </c>
      <c r="B48" s="1" t="s">
        <v>41</v>
      </c>
      <c r="C48" s="1" t="s">
        <v>38</v>
      </c>
      <c r="D48">
        <v>2</v>
      </c>
      <c r="E48">
        <v>4</v>
      </c>
      <c r="F48">
        <v>3495</v>
      </c>
      <c r="G48">
        <v>891984</v>
      </c>
      <c r="H48">
        <v>844102</v>
      </c>
      <c r="I48" s="2">
        <v>45440</v>
      </c>
      <c r="J48" s="2">
        <v>45455</v>
      </c>
      <c r="K48">
        <v>15</v>
      </c>
      <c r="L48" s="1" t="s">
        <v>44</v>
      </c>
      <c r="M48" s="1" t="s">
        <v>24</v>
      </c>
      <c r="N48">
        <v>4.4999999999999998E-2</v>
      </c>
      <c r="O48">
        <v>37984.589999999997</v>
      </c>
      <c r="P48">
        <v>-47882</v>
      </c>
      <c r="Q48" t="str">
        <f>IF(tbl_sales3[[#This Row],[Sale_Price]]&lt;500000,"Budget",
IF(tbl_sales3[[#This Row],[Sale_Price]]&lt;1000000,"Mid-Range",
"Luxury"))</f>
        <v>Mid-Range</v>
      </c>
      <c r="R48" s="4">
        <f>IFERROR(tbl_sales3[[#This Row],[Sale_Price]]*tbl_sales3[[#This Row],[Commission_Rate]],0)</f>
        <v>37984.589999999997</v>
      </c>
      <c r="S48" t="str">
        <f>IF(ABS(tbl_sales3[[#This Row],[Commission_Earned]]-tbl_sales3[[#This Row],[Calculated_Commission]])&lt;0.02,"Correct","Mismatch")</f>
        <v>Correct</v>
      </c>
      <c r="T48">
        <f>YEAR(tbl_sales3[[#This Row],[Sale_Date]])</f>
        <v>2024</v>
      </c>
      <c r="U48" s="1" t="str">
        <f>TEXT(tbl_sales3[[#This Row],[Sale_Date]],"mmmm")</f>
        <v>June</v>
      </c>
      <c r="V48" s="2">
        <f>EOMONTH(tbl_sales3[[#This Row],[Sale_Date]],0)</f>
        <v>45473</v>
      </c>
      <c r="W48" s="1" t="str">
        <f>IF(AND(tbl_sales3[[#This Row],[Sale_Price]]&gt;1000000,tbl_sales3[[#This Row],[Days_on_Market]]&lt;30),"High Demand","Normal")</f>
        <v>Normal</v>
      </c>
    </row>
    <row r="49" spans="1:23" x14ac:dyDescent="0.3">
      <c r="A49" s="1" t="s">
        <v>87</v>
      </c>
      <c r="B49" s="1" t="s">
        <v>41</v>
      </c>
      <c r="C49" s="1" t="s">
        <v>18</v>
      </c>
      <c r="D49">
        <v>4</v>
      </c>
      <c r="E49">
        <v>3</v>
      </c>
      <c r="F49">
        <v>1817</v>
      </c>
      <c r="G49">
        <v>461984</v>
      </c>
      <c r="H49">
        <v>384317</v>
      </c>
      <c r="I49" s="2">
        <v>45108</v>
      </c>
      <c r="J49" s="2">
        <v>45162</v>
      </c>
      <c r="K49">
        <v>54</v>
      </c>
      <c r="L49" s="1" t="s">
        <v>27</v>
      </c>
      <c r="M49" s="1" t="s">
        <v>28</v>
      </c>
      <c r="N49">
        <v>4.4999999999999998E-2</v>
      </c>
      <c r="O49">
        <v>17294.259999999998</v>
      </c>
      <c r="P49">
        <v>-77667</v>
      </c>
      <c r="Q49" t="str">
        <f>IF(tbl_sales3[[#This Row],[Sale_Price]]&lt;500000,"Budget",
IF(tbl_sales3[[#This Row],[Sale_Price]]&lt;1000000,"Mid-Range",
"Luxury"))</f>
        <v>Budget</v>
      </c>
      <c r="R49" s="4">
        <f>IFERROR(tbl_sales3[[#This Row],[Sale_Price]]*tbl_sales3[[#This Row],[Commission_Rate]],0)</f>
        <v>17294.264999999999</v>
      </c>
      <c r="S49" t="str">
        <f>IF(ABS(tbl_sales3[[#This Row],[Commission_Earned]]-tbl_sales3[[#This Row],[Calculated_Commission]])&lt;0.02,"Correct","Mismatch")</f>
        <v>Correct</v>
      </c>
      <c r="T49">
        <f>YEAR(tbl_sales3[[#This Row],[Sale_Date]])</f>
        <v>2023</v>
      </c>
      <c r="U49" s="1" t="str">
        <f>TEXT(tbl_sales3[[#This Row],[Sale_Date]],"mmmm")</f>
        <v>August</v>
      </c>
      <c r="V49" s="2">
        <f>EOMONTH(tbl_sales3[[#This Row],[Sale_Date]],0)</f>
        <v>45169</v>
      </c>
      <c r="W49" s="1" t="str">
        <f>IF(AND(tbl_sales3[[#This Row],[Sale_Price]]&gt;1000000,tbl_sales3[[#This Row],[Days_on_Market]]&lt;30),"High Demand","Normal")</f>
        <v>Normal</v>
      </c>
    </row>
    <row r="50" spans="1:23" x14ac:dyDescent="0.3">
      <c r="A50" s="1" t="s">
        <v>88</v>
      </c>
      <c r="B50" s="1" t="s">
        <v>37</v>
      </c>
      <c r="C50" s="1" t="s">
        <v>23</v>
      </c>
      <c r="D50">
        <v>4</v>
      </c>
      <c r="E50">
        <v>3</v>
      </c>
      <c r="F50">
        <v>810</v>
      </c>
      <c r="G50">
        <v>1273914</v>
      </c>
      <c r="H50">
        <v>1201286</v>
      </c>
      <c r="I50" s="2">
        <v>45310</v>
      </c>
      <c r="J50" s="2">
        <v>45359</v>
      </c>
      <c r="K50">
        <v>49</v>
      </c>
      <c r="L50" s="1" t="s">
        <v>42</v>
      </c>
      <c r="M50" s="1" t="s">
        <v>20</v>
      </c>
      <c r="N50">
        <v>4.4999999999999998E-2</v>
      </c>
      <c r="O50">
        <v>54057.87</v>
      </c>
      <c r="P50">
        <v>-72628</v>
      </c>
      <c r="Q50" t="str">
        <f>IF(tbl_sales3[[#This Row],[Sale_Price]]&lt;500000,"Budget",
IF(tbl_sales3[[#This Row],[Sale_Price]]&lt;1000000,"Mid-Range",
"Luxury"))</f>
        <v>Luxury</v>
      </c>
      <c r="R50" s="4">
        <f>IFERROR(tbl_sales3[[#This Row],[Sale_Price]]*tbl_sales3[[#This Row],[Commission_Rate]],0)</f>
        <v>54057.869999999995</v>
      </c>
      <c r="S50" t="str">
        <f>IF(ABS(tbl_sales3[[#This Row],[Commission_Earned]]-tbl_sales3[[#This Row],[Calculated_Commission]])&lt;0.02,"Correct","Mismatch")</f>
        <v>Correct</v>
      </c>
      <c r="T50">
        <f>YEAR(tbl_sales3[[#This Row],[Sale_Date]])</f>
        <v>2024</v>
      </c>
      <c r="U50" s="1" t="str">
        <f>TEXT(tbl_sales3[[#This Row],[Sale_Date]],"mmmm")</f>
        <v>March</v>
      </c>
      <c r="V50" s="2">
        <f>EOMONTH(tbl_sales3[[#This Row],[Sale_Date]],0)</f>
        <v>45382</v>
      </c>
      <c r="W50" s="1" t="str">
        <f>IF(AND(tbl_sales3[[#This Row],[Sale_Price]]&gt;1000000,tbl_sales3[[#This Row],[Days_on_Market]]&lt;30),"High Demand","Normal")</f>
        <v>Normal</v>
      </c>
    </row>
    <row r="51" spans="1:23" x14ac:dyDescent="0.3">
      <c r="A51" s="1" t="s">
        <v>89</v>
      </c>
      <c r="B51" s="1" t="s">
        <v>32</v>
      </c>
      <c r="C51" s="1" t="s">
        <v>35</v>
      </c>
      <c r="D51">
        <v>5</v>
      </c>
      <c r="E51">
        <v>2</v>
      </c>
      <c r="F51">
        <v>1346</v>
      </c>
      <c r="G51">
        <v>1153357</v>
      </c>
      <c r="H51">
        <v>1083242</v>
      </c>
      <c r="I51" s="2">
        <v>45220</v>
      </c>
      <c r="J51" s="2">
        <v>45297</v>
      </c>
      <c r="K51">
        <v>77</v>
      </c>
      <c r="L51" s="1" t="s">
        <v>53</v>
      </c>
      <c r="M51" s="1" t="s">
        <v>28</v>
      </c>
      <c r="N51">
        <v>0.05</v>
      </c>
      <c r="O51">
        <v>54162.1</v>
      </c>
      <c r="P51">
        <v>-70115</v>
      </c>
      <c r="Q51" t="str">
        <f>IF(tbl_sales3[[#This Row],[Sale_Price]]&lt;500000,"Budget",
IF(tbl_sales3[[#This Row],[Sale_Price]]&lt;1000000,"Mid-Range",
"Luxury"))</f>
        <v>Luxury</v>
      </c>
      <c r="R51" s="4">
        <f>IFERROR(tbl_sales3[[#This Row],[Sale_Price]]*tbl_sales3[[#This Row],[Commission_Rate]],0)</f>
        <v>54162.100000000006</v>
      </c>
      <c r="S51" t="str">
        <f>IF(ABS(tbl_sales3[[#This Row],[Commission_Earned]]-tbl_sales3[[#This Row],[Calculated_Commission]])&lt;0.02,"Correct","Mismatch")</f>
        <v>Correct</v>
      </c>
      <c r="T51">
        <f>YEAR(tbl_sales3[[#This Row],[Sale_Date]])</f>
        <v>2024</v>
      </c>
      <c r="U51" s="1" t="str">
        <f>TEXT(tbl_sales3[[#This Row],[Sale_Date]],"mmmm")</f>
        <v>January</v>
      </c>
      <c r="V51" s="2">
        <f>EOMONTH(tbl_sales3[[#This Row],[Sale_Date]],0)</f>
        <v>45322</v>
      </c>
      <c r="W51" s="1" t="str">
        <f>IF(AND(tbl_sales3[[#This Row],[Sale_Price]]&gt;1000000,tbl_sales3[[#This Row],[Days_on_Market]]&lt;30),"High Demand","Normal")</f>
        <v>Normal</v>
      </c>
    </row>
    <row r="52" spans="1:23" x14ac:dyDescent="0.3">
      <c r="A52" s="1" t="s">
        <v>90</v>
      </c>
      <c r="B52" s="1" t="s">
        <v>37</v>
      </c>
      <c r="C52" s="1" t="s">
        <v>18</v>
      </c>
      <c r="D52">
        <v>1</v>
      </c>
      <c r="E52">
        <v>4</v>
      </c>
      <c r="F52">
        <v>1927</v>
      </c>
      <c r="G52">
        <v>629673</v>
      </c>
      <c r="H52">
        <v>564634</v>
      </c>
      <c r="I52" s="2">
        <v>45533</v>
      </c>
      <c r="J52" s="2">
        <v>45566</v>
      </c>
      <c r="K52">
        <v>33</v>
      </c>
      <c r="L52" s="1" t="s">
        <v>39</v>
      </c>
      <c r="M52" s="1" t="s">
        <v>24</v>
      </c>
      <c r="N52">
        <v>0.05</v>
      </c>
      <c r="O52">
        <v>28231.7</v>
      </c>
      <c r="P52">
        <v>-65039</v>
      </c>
      <c r="Q52" t="str">
        <f>IF(tbl_sales3[[#This Row],[Sale_Price]]&lt;500000,"Budget",
IF(tbl_sales3[[#This Row],[Sale_Price]]&lt;1000000,"Mid-Range",
"Luxury"))</f>
        <v>Mid-Range</v>
      </c>
      <c r="R52" s="4">
        <f>IFERROR(tbl_sales3[[#This Row],[Sale_Price]]*tbl_sales3[[#This Row],[Commission_Rate]],0)</f>
        <v>28231.7</v>
      </c>
      <c r="S52" t="str">
        <f>IF(ABS(tbl_sales3[[#This Row],[Commission_Earned]]-tbl_sales3[[#This Row],[Calculated_Commission]])&lt;0.02,"Correct","Mismatch")</f>
        <v>Correct</v>
      </c>
      <c r="T52">
        <f>YEAR(tbl_sales3[[#This Row],[Sale_Date]])</f>
        <v>2024</v>
      </c>
      <c r="U52" s="1" t="str">
        <f>TEXT(tbl_sales3[[#This Row],[Sale_Date]],"mmmm")</f>
        <v>October</v>
      </c>
      <c r="V52" s="2">
        <f>EOMONTH(tbl_sales3[[#This Row],[Sale_Date]],0)</f>
        <v>45596</v>
      </c>
      <c r="W52" s="1" t="str">
        <f>IF(AND(tbl_sales3[[#This Row],[Sale_Price]]&gt;1000000,tbl_sales3[[#This Row],[Days_on_Market]]&lt;30),"High Demand","Normal")</f>
        <v>Normal</v>
      </c>
    </row>
    <row r="53" spans="1:23" x14ac:dyDescent="0.3">
      <c r="A53" s="1" t="s">
        <v>91</v>
      </c>
      <c r="B53" s="1" t="s">
        <v>37</v>
      </c>
      <c r="C53" s="1" t="s">
        <v>23</v>
      </c>
      <c r="D53">
        <v>1</v>
      </c>
      <c r="E53">
        <v>3</v>
      </c>
      <c r="F53">
        <v>1494</v>
      </c>
      <c r="G53">
        <v>726819</v>
      </c>
      <c r="H53">
        <v>720445</v>
      </c>
      <c r="I53" s="2">
        <v>45104</v>
      </c>
      <c r="J53" s="2">
        <v>45180</v>
      </c>
      <c r="K53">
        <v>76</v>
      </c>
      <c r="L53" s="1" t="s">
        <v>30</v>
      </c>
      <c r="M53" s="1" t="s">
        <v>24</v>
      </c>
      <c r="N53">
        <v>4.4999999999999998E-2</v>
      </c>
      <c r="O53">
        <v>32420.02</v>
      </c>
      <c r="P53">
        <v>-6374</v>
      </c>
      <c r="Q53" t="str">
        <f>IF(tbl_sales3[[#This Row],[Sale_Price]]&lt;500000,"Budget",
IF(tbl_sales3[[#This Row],[Sale_Price]]&lt;1000000,"Mid-Range",
"Luxury"))</f>
        <v>Mid-Range</v>
      </c>
      <c r="R53" s="4">
        <f>IFERROR(tbl_sales3[[#This Row],[Sale_Price]]*tbl_sales3[[#This Row],[Commission_Rate]],0)</f>
        <v>32420.024999999998</v>
      </c>
      <c r="S53" t="str">
        <f>IF(ABS(tbl_sales3[[#This Row],[Commission_Earned]]-tbl_sales3[[#This Row],[Calculated_Commission]])&lt;0.02,"Correct","Mismatch")</f>
        <v>Correct</v>
      </c>
      <c r="T53">
        <f>YEAR(tbl_sales3[[#This Row],[Sale_Date]])</f>
        <v>2023</v>
      </c>
      <c r="U53" s="1" t="str">
        <f>TEXT(tbl_sales3[[#This Row],[Sale_Date]],"mmmm")</f>
        <v>September</v>
      </c>
      <c r="V53" s="2">
        <f>EOMONTH(tbl_sales3[[#This Row],[Sale_Date]],0)</f>
        <v>45199</v>
      </c>
      <c r="W53" s="1" t="str">
        <f>IF(AND(tbl_sales3[[#This Row],[Sale_Price]]&gt;1000000,tbl_sales3[[#This Row],[Days_on_Market]]&lt;30),"High Demand","Normal")</f>
        <v>Normal</v>
      </c>
    </row>
    <row r="54" spans="1:23" x14ac:dyDescent="0.3">
      <c r="A54" s="1" t="s">
        <v>92</v>
      </c>
      <c r="B54" s="1" t="s">
        <v>59</v>
      </c>
      <c r="C54" s="1" t="s">
        <v>18</v>
      </c>
      <c r="D54">
        <v>3</v>
      </c>
      <c r="E54">
        <v>4</v>
      </c>
      <c r="F54">
        <v>2505</v>
      </c>
      <c r="G54">
        <v>1705371</v>
      </c>
      <c r="H54">
        <v>1646240</v>
      </c>
      <c r="I54" s="2">
        <v>45626</v>
      </c>
      <c r="J54" s="2">
        <v>45692</v>
      </c>
      <c r="K54">
        <v>66</v>
      </c>
      <c r="L54" s="1" t="s">
        <v>53</v>
      </c>
      <c r="M54" s="1" t="s">
        <v>24</v>
      </c>
      <c r="N54">
        <v>4.4999999999999998E-2</v>
      </c>
      <c r="O54">
        <v>74080.800000000003</v>
      </c>
      <c r="P54">
        <v>-59131</v>
      </c>
      <c r="Q54" t="str">
        <f>IF(tbl_sales3[[#This Row],[Sale_Price]]&lt;500000,"Budget",
IF(tbl_sales3[[#This Row],[Sale_Price]]&lt;1000000,"Mid-Range",
"Luxury"))</f>
        <v>Luxury</v>
      </c>
      <c r="R54" s="4">
        <f>IFERROR(tbl_sales3[[#This Row],[Sale_Price]]*tbl_sales3[[#This Row],[Commission_Rate]],0)</f>
        <v>74080.800000000003</v>
      </c>
      <c r="S54" t="str">
        <f>IF(ABS(tbl_sales3[[#This Row],[Commission_Earned]]-tbl_sales3[[#This Row],[Calculated_Commission]])&lt;0.02,"Correct","Mismatch")</f>
        <v>Correct</v>
      </c>
      <c r="T54">
        <f>YEAR(tbl_sales3[[#This Row],[Sale_Date]])</f>
        <v>2025</v>
      </c>
      <c r="U54" s="1" t="str">
        <f>TEXT(tbl_sales3[[#This Row],[Sale_Date]],"mmmm")</f>
        <v>February</v>
      </c>
      <c r="V54" s="2">
        <f>EOMONTH(tbl_sales3[[#This Row],[Sale_Date]],0)</f>
        <v>45716</v>
      </c>
      <c r="W54" s="1" t="str">
        <f>IF(AND(tbl_sales3[[#This Row],[Sale_Price]]&gt;1000000,tbl_sales3[[#This Row],[Days_on_Market]]&lt;30),"High Demand","Normal")</f>
        <v>Normal</v>
      </c>
    </row>
    <row r="55" spans="1:23" x14ac:dyDescent="0.3">
      <c r="A55" s="1" t="s">
        <v>93</v>
      </c>
      <c r="B55" s="1" t="s">
        <v>22</v>
      </c>
      <c r="C55" s="1" t="s">
        <v>35</v>
      </c>
      <c r="D55">
        <v>1</v>
      </c>
      <c r="E55">
        <v>3</v>
      </c>
      <c r="F55">
        <v>2108</v>
      </c>
      <c r="G55">
        <v>1758405</v>
      </c>
      <c r="H55">
        <v>1739654</v>
      </c>
      <c r="I55" s="2">
        <v>45122</v>
      </c>
      <c r="J55" s="2">
        <v>45184</v>
      </c>
      <c r="K55">
        <v>62</v>
      </c>
      <c r="L55" s="1" t="s">
        <v>19</v>
      </c>
      <c r="M55" s="1" t="s">
        <v>20</v>
      </c>
      <c r="N55">
        <v>0.04</v>
      </c>
      <c r="O55">
        <v>69586.16</v>
      </c>
      <c r="P55">
        <v>-18751</v>
      </c>
      <c r="Q55" t="str">
        <f>IF(tbl_sales3[[#This Row],[Sale_Price]]&lt;500000,"Budget",
IF(tbl_sales3[[#This Row],[Sale_Price]]&lt;1000000,"Mid-Range",
"Luxury"))</f>
        <v>Luxury</v>
      </c>
      <c r="R55" s="4">
        <f>IFERROR(tbl_sales3[[#This Row],[Sale_Price]]*tbl_sales3[[#This Row],[Commission_Rate]],0)</f>
        <v>69586.16</v>
      </c>
      <c r="S55" t="str">
        <f>IF(ABS(tbl_sales3[[#This Row],[Commission_Earned]]-tbl_sales3[[#This Row],[Calculated_Commission]])&lt;0.02,"Correct","Mismatch")</f>
        <v>Correct</v>
      </c>
      <c r="T55">
        <f>YEAR(tbl_sales3[[#This Row],[Sale_Date]])</f>
        <v>2023</v>
      </c>
      <c r="U55" s="1" t="str">
        <f>TEXT(tbl_sales3[[#This Row],[Sale_Date]],"mmmm")</f>
        <v>September</v>
      </c>
      <c r="V55" s="2">
        <f>EOMONTH(tbl_sales3[[#This Row],[Sale_Date]],0)</f>
        <v>45199</v>
      </c>
      <c r="W55" s="1" t="str">
        <f>IF(AND(tbl_sales3[[#This Row],[Sale_Price]]&gt;1000000,tbl_sales3[[#This Row],[Days_on_Market]]&lt;30),"High Demand","Normal")</f>
        <v>Normal</v>
      </c>
    </row>
    <row r="56" spans="1:23" x14ac:dyDescent="0.3">
      <c r="A56" s="1" t="s">
        <v>94</v>
      </c>
      <c r="B56" s="1" t="s">
        <v>41</v>
      </c>
      <c r="C56" s="1" t="s">
        <v>35</v>
      </c>
      <c r="D56">
        <v>1</v>
      </c>
      <c r="E56">
        <v>3</v>
      </c>
      <c r="F56">
        <v>3287</v>
      </c>
      <c r="G56">
        <v>1697916</v>
      </c>
      <c r="H56">
        <v>1629407</v>
      </c>
      <c r="I56" s="2">
        <v>45157</v>
      </c>
      <c r="J56" s="2">
        <v>45235</v>
      </c>
      <c r="K56">
        <v>78</v>
      </c>
      <c r="L56" s="1" t="s">
        <v>51</v>
      </c>
      <c r="M56" s="1" t="s">
        <v>20</v>
      </c>
      <c r="N56">
        <v>4.4999999999999998E-2</v>
      </c>
      <c r="O56">
        <v>73323.320000000007</v>
      </c>
      <c r="P56">
        <v>-68509</v>
      </c>
      <c r="Q56" t="str">
        <f>IF(tbl_sales3[[#This Row],[Sale_Price]]&lt;500000,"Budget",
IF(tbl_sales3[[#This Row],[Sale_Price]]&lt;1000000,"Mid-Range",
"Luxury"))</f>
        <v>Luxury</v>
      </c>
      <c r="R56" s="4">
        <f>IFERROR(tbl_sales3[[#This Row],[Sale_Price]]*tbl_sales3[[#This Row],[Commission_Rate]],0)</f>
        <v>73323.315000000002</v>
      </c>
      <c r="S56" t="str">
        <f>IF(ABS(tbl_sales3[[#This Row],[Commission_Earned]]-tbl_sales3[[#This Row],[Calculated_Commission]])&lt;0.02,"Correct","Mismatch")</f>
        <v>Correct</v>
      </c>
      <c r="T56">
        <f>YEAR(tbl_sales3[[#This Row],[Sale_Date]])</f>
        <v>2023</v>
      </c>
      <c r="U56" s="1" t="str">
        <f>TEXT(tbl_sales3[[#This Row],[Sale_Date]],"mmmm")</f>
        <v>November</v>
      </c>
      <c r="V56" s="2">
        <f>EOMONTH(tbl_sales3[[#This Row],[Sale_Date]],0)</f>
        <v>45260</v>
      </c>
      <c r="W56" s="1" t="str">
        <f>IF(AND(tbl_sales3[[#This Row],[Sale_Price]]&gt;1000000,tbl_sales3[[#This Row],[Days_on_Market]]&lt;30),"High Demand","Normal")</f>
        <v>Normal</v>
      </c>
    </row>
    <row r="57" spans="1:23" x14ac:dyDescent="0.3">
      <c r="A57" s="1" t="s">
        <v>95</v>
      </c>
      <c r="B57" s="1" t="s">
        <v>32</v>
      </c>
      <c r="C57" s="1" t="s">
        <v>18</v>
      </c>
      <c r="D57">
        <v>2</v>
      </c>
      <c r="E57">
        <v>1</v>
      </c>
      <c r="F57">
        <v>1270</v>
      </c>
      <c r="G57">
        <v>1098840</v>
      </c>
      <c r="H57">
        <v>1048366</v>
      </c>
      <c r="I57" s="2">
        <v>45589</v>
      </c>
      <c r="J57" s="2">
        <v>45668</v>
      </c>
      <c r="K57">
        <v>79</v>
      </c>
      <c r="L57" s="1" t="s">
        <v>27</v>
      </c>
      <c r="M57" s="1" t="s">
        <v>28</v>
      </c>
      <c r="N57">
        <v>0.05</v>
      </c>
      <c r="O57">
        <v>52418.3</v>
      </c>
      <c r="P57">
        <v>-50474</v>
      </c>
      <c r="Q57" t="str">
        <f>IF(tbl_sales3[[#This Row],[Sale_Price]]&lt;500000,"Budget",
IF(tbl_sales3[[#This Row],[Sale_Price]]&lt;1000000,"Mid-Range",
"Luxury"))</f>
        <v>Luxury</v>
      </c>
      <c r="R57" s="4">
        <f>IFERROR(tbl_sales3[[#This Row],[Sale_Price]]*tbl_sales3[[#This Row],[Commission_Rate]],0)</f>
        <v>52418.3</v>
      </c>
      <c r="S57" t="str">
        <f>IF(ABS(tbl_sales3[[#This Row],[Commission_Earned]]-tbl_sales3[[#This Row],[Calculated_Commission]])&lt;0.02,"Correct","Mismatch")</f>
        <v>Correct</v>
      </c>
      <c r="T57">
        <f>YEAR(tbl_sales3[[#This Row],[Sale_Date]])</f>
        <v>2025</v>
      </c>
      <c r="U57" s="1" t="str">
        <f>TEXT(tbl_sales3[[#This Row],[Sale_Date]],"mmmm")</f>
        <v>January</v>
      </c>
      <c r="V57" s="2">
        <f>EOMONTH(tbl_sales3[[#This Row],[Sale_Date]],0)</f>
        <v>45688</v>
      </c>
      <c r="W57" s="1" t="str">
        <f>IF(AND(tbl_sales3[[#This Row],[Sale_Price]]&gt;1000000,tbl_sales3[[#This Row],[Days_on_Market]]&lt;30),"High Demand","Normal")</f>
        <v>Normal</v>
      </c>
    </row>
    <row r="58" spans="1:23" x14ac:dyDescent="0.3">
      <c r="A58" s="1" t="s">
        <v>96</v>
      </c>
      <c r="B58" s="1" t="s">
        <v>32</v>
      </c>
      <c r="C58" s="1" t="s">
        <v>23</v>
      </c>
      <c r="D58">
        <v>3</v>
      </c>
      <c r="E58">
        <v>2</v>
      </c>
      <c r="F58">
        <v>1285</v>
      </c>
      <c r="G58">
        <v>1408084</v>
      </c>
      <c r="H58">
        <v>1380992</v>
      </c>
      <c r="I58" s="2">
        <v>45506</v>
      </c>
      <c r="J58" s="2">
        <v>45574</v>
      </c>
      <c r="K58">
        <v>68</v>
      </c>
      <c r="L58" s="1" t="s">
        <v>42</v>
      </c>
      <c r="M58" s="1" t="s">
        <v>20</v>
      </c>
      <c r="N58">
        <v>4.4999999999999998E-2</v>
      </c>
      <c r="O58">
        <v>62144.639999999999</v>
      </c>
      <c r="P58">
        <v>-27092</v>
      </c>
      <c r="Q58" t="str">
        <f>IF(tbl_sales3[[#This Row],[Sale_Price]]&lt;500000,"Budget",
IF(tbl_sales3[[#This Row],[Sale_Price]]&lt;1000000,"Mid-Range",
"Luxury"))</f>
        <v>Luxury</v>
      </c>
      <c r="R58" s="4">
        <f>IFERROR(tbl_sales3[[#This Row],[Sale_Price]]*tbl_sales3[[#This Row],[Commission_Rate]],0)</f>
        <v>62144.639999999999</v>
      </c>
      <c r="S58" t="str">
        <f>IF(ABS(tbl_sales3[[#This Row],[Commission_Earned]]-tbl_sales3[[#This Row],[Calculated_Commission]])&lt;0.02,"Correct","Mismatch")</f>
        <v>Correct</v>
      </c>
      <c r="T58">
        <f>YEAR(tbl_sales3[[#This Row],[Sale_Date]])</f>
        <v>2024</v>
      </c>
      <c r="U58" s="1" t="str">
        <f>TEXT(tbl_sales3[[#This Row],[Sale_Date]],"mmmm")</f>
        <v>October</v>
      </c>
      <c r="V58" s="2">
        <f>EOMONTH(tbl_sales3[[#This Row],[Sale_Date]],0)</f>
        <v>45596</v>
      </c>
      <c r="W58" s="1" t="str">
        <f>IF(AND(tbl_sales3[[#This Row],[Sale_Price]]&gt;1000000,tbl_sales3[[#This Row],[Days_on_Market]]&lt;30),"High Demand","Normal")</f>
        <v>Normal</v>
      </c>
    </row>
    <row r="59" spans="1:23" x14ac:dyDescent="0.3">
      <c r="A59" s="1" t="s">
        <v>97</v>
      </c>
      <c r="B59" s="1" t="s">
        <v>26</v>
      </c>
      <c r="C59" s="1" t="s">
        <v>38</v>
      </c>
      <c r="D59">
        <v>4</v>
      </c>
      <c r="E59">
        <v>1</v>
      </c>
      <c r="F59">
        <v>881</v>
      </c>
      <c r="G59">
        <v>1702421</v>
      </c>
      <c r="H59">
        <v>1680056</v>
      </c>
      <c r="I59" s="2">
        <v>45397</v>
      </c>
      <c r="J59" s="2">
        <v>45426</v>
      </c>
      <c r="K59">
        <v>29</v>
      </c>
      <c r="L59" s="1" t="s">
        <v>39</v>
      </c>
      <c r="M59" s="1" t="s">
        <v>24</v>
      </c>
      <c r="N59">
        <v>0.04</v>
      </c>
      <c r="O59">
        <v>67202.240000000005</v>
      </c>
      <c r="P59">
        <v>-22365</v>
      </c>
      <c r="Q59" t="str">
        <f>IF(tbl_sales3[[#This Row],[Sale_Price]]&lt;500000,"Budget",
IF(tbl_sales3[[#This Row],[Sale_Price]]&lt;1000000,"Mid-Range",
"Luxury"))</f>
        <v>Luxury</v>
      </c>
      <c r="R59" s="4">
        <f>IFERROR(tbl_sales3[[#This Row],[Sale_Price]]*tbl_sales3[[#This Row],[Commission_Rate]],0)</f>
        <v>67202.240000000005</v>
      </c>
      <c r="S59" t="str">
        <f>IF(ABS(tbl_sales3[[#This Row],[Commission_Earned]]-tbl_sales3[[#This Row],[Calculated_Commission]])&lt;0.02,"Correct","Mismatch")</f>
        <v>Correct</v>
      </c>
      <c r="T59">
        <f>YEAR(tbl_sales3[[#This Row],[Sale_Date]])</f>
        <v>2024</v>
      </c>
      <c r="U59" s="1" t="str">
        <f>TEXT(tbl_sales3[[#This Row],[Sale_Date]],"mmmm")</f>
        <v>May</v>
      </c>
      <c r="V59" s="2">
        <f>EOMONTH(tbl_sales3[[#This Row],[Sale_Date]],0)</f>
        <v>45443</v>
      </c>
      <c r="W59" s="1" t="str">
        <f>IF(AND(tbl_sales3[[#This Row],[Sale_Price]]&gt;1000000,tbl_sales3[[#This Row],[Days_on_Market]]&lt;30),"High Demand","Normal")</f>
        <v>High Demand</v>
      </c>
    </row>
    <row r="60" spans="1:23" x14ac:dyDescent="0.3">
      <c r="A60" s="1" t="s">
        <v>98</v>
      </c>
      <c r="B60" s="1" t="s">
        <v>26</v>
      </c>
      <c r="C60" s="1" t="s">
        <v>18</v>
      </c>
      <c r="D60">
        <v>5</v>
      </c>
      <c r="E60">
        <v>1</v>
      </c>
      <c r="F60">
        <v>2766</v>
      </c>
      <c r="G60">
        <v>1030662</v>
      </c>
      <c r="H60">
        <v>957655</v>
      </c>
      <c r="I60" s="2">
        <v>45101</v>
      </c>
      <c r="J60" s="2">
        <v>45124</v>
      </c>
      <c r="K60">
        <v>23</v>
      </c>
      <c r="L60" s="1" t="s">
        <v>19</v>
      </c>
      <c r="M60" s="1" t="s">
        <v>28</v>
      </c>
      <c r="N60">
        <v>0.04</v>
      </c>
      <c r="O60">
        <v>38306.199999999997</v>
      </c>
      <c r="P60">
        <v>-73007</v>
      </c>
      <c r="Q60" t="str">
        <f>IF(tbl_sales3[[#This Row],[Sale_Price]]&lt;500000,"Budget",
IF(tbl_sales3[[#This Row],[Sale_Price]]&lt;1000000,"Mid-Range",
"Luxury"))</f>
        <v>Mid-Range</v>
      </c>
      <c r="R60" s="4">
        <f>IFERROR(tbl_sales3[[#This Row],[Sale_Price]]*tbl_sales3[[#This Row],[Commission_Rate]],0)</f>
        <v>38306.200000000004</v>
      </c>
      <c r="S60" t="str">
        <f>IF(ABS(tbl_sales3[[#This Row],[Commission_Earned]]-tbl_sales3[[#This Row],[Calculated_Commission]])&lt;0.02,"Correct","Mismatch")</f>
        <v>Correct</v>
      </c>
      <c r="T60">
        <f>YEAR(tbl_sales3[[#This Row],[Sale_Date]])</f>
        <v>2023</v>
      </c>
      <c r="U60" s="1" t="str">
        <f>TEXT(tbl_sales3[[#This Row],[Sale_Date]],"mmmm")</f>
        <v>July</v>
      </c>
      <c r="V60" s="2">
        <f>EOMONTH(tbl_sales3[[#This Row],[Sale_Date]],0)</f>
        <v>45138</v>
      </c>
      <c r="W60" s="1" t="str">
        <f>IF(AND(tbl_sales3[[#This Row],[Sale_Price]]&gt;1000000,tbl_sales3[[#This Row],[Days_on_Market]]&lt;30),"High Demand","Normal")</f>
        <v>Normal</v>
      </c>
    </row>
    <row r="61" spans="1:23" x14ac:dyDescent="0.3">
      <c r="A61" s="1" t="s">
        <v>99</v>
      </c>
      <c r="B61" s="1" t="s">
        <v>41</v>
      </c>
      <c r="C61" s="1" t="s">
        <v>23</v>
      </c>
      <c r="D61">
        <v>4</v>
      </c>
      <c r="E61">
        <v>2</v>
      </c>
      <c r="F61">
        <v>3351</v>
      </c>
      <c r="G61">
        <v>654540</v>
      </c>
      <c r="H61">
        <v>636792</v>
      </c>
      <c r="I61" s="2">
        <v>45401</v>
      </c>
      <c r="J61" s="2">
        <v>45428</v>
      </c>
      <c r="K61">
        <v>27</v>
      </c>
      <c r="L61" s="1" t="s">
        <v>19</v>
      </c>
      <c r="M61" s="1" t="s">
        <v>28</v>
      </c>
      <c r="N61">
        <v>0.04</v>
      </c>
      <c r="O61">
        <v>25471.68</v>
      </c>
      <c r="P61">
        <v>-17748</v>
      </c>
      <c r="Q61" t="str">
        <f>IF(tbl_sales3[[#This Row],[Sale_Price]]&lt;500000,"Budget",
IF(tbl_sales3[[#This Row],[Sale_Price]]&lt;1000000,"Mid-Range",
"Luxury"))</f>
        <v>Mid-Range</v>
      </c>
      <c r="R61" s="4">
        <f>IFERROR(tbl_sales3[[#This Row],[Sale_Price]]*tbl_sales3[[#This Row],[Commission_Rate]],0)</f>
        <v>25471.68</v>
      </c>
      <c r="S61" t="str">
        <f>IF(ABS(tbl_sales3[[#This Row],[Commission_Earned]]-tbl_sales3[[#This Row],[Calculated_Commission]])&lt;0.02,"Correct","Mismatch")</f>
        <v>Correct</v>
      </c>
      <c r="T61">
        <f>YEAR(tbl_sales3[[#This Row],[Sale_Date]])</f>
        <v>2024</v>
      </c>
      <c r="U61" s="1" t="str">
        <f>TEXT(tbl_sales3[[#This Row],[Sale_Date]],"mmmm")</f>
        <v>May</v>
      </c>
      <c r="V61" s="2">
        <f>EOMONTH(tbl_sales3[[#This Row],[Sale_Date]],0)</f>
        <v>45443</v>
      </c>
      <c r="W61" s="1" t="str">
        <f>IF(AND(tbl_sales3[[#This Row],[Sale_Price]]&gt;1000000,tbl_sales3[[#This Row],[Days_on_Market]]&lt;30),"High Demand","Normal")</f>
        <v>Normal</v>
      </c>
    </row>
    <row r="62" spans="1:23" x14ac:dyDescent="0.3">
      <c r="A62" s="1" t="s">
        <v>100</v>
      </c>
      <c r="B62" s="1" t="s">
        <v>32</v>
      </c>
      <c r="C62" s="1" t="s">
        <v>38</v>
      </c>
      <c r="D62">
        <v>5</v>
      </c>
      <c r="E62">
        <v>3</v>
      </c>
      <c r="F62">
        <v>3442</v>
      </c>
      <c r="G62">
        <v>1338377</v>
      </c>
      <c r="H62">
        <v>1278220</v>
      </c>
      <c r="I62" s="2">
        <v>45227</v>
      </c>
      <c r="J62" s="2">
        <v>45293</v>
      </c>
      <c r="K62">
        <v>66</v>
      </c>
      <c r="L62" s="1" t="s">
        <v>39</v>
      </c>
      <c r="M62" s="1" t="s">
        <v>24</v>
      </c>
      <c r="N62">
        <v>4.4999999999999998E-2</v>
      </c>
      <c r="O62">
        <v>57519.9</v>
      </c>
      <c r="P62">
        <v>-60157</v>
      </c>
      <c r="Q62" t="str">
        <f>IF(tbl_sales3[[#This Row],[Sale_Price]]&lt;500000,"Budget",
IF(tbl_sales3[[#This Row],[Sale_Price]]&lt;1000000,"Mid-Range",
"Luxury"))</f>
        <v>Luxury</v>
      </c>
      <c r="R62" s="4">
        <f>IFERROR(tbl_sales3[[#This Row],[Sale_Price]]*tbl_sales3[[#This Row],[Commission_Rate]],0)</f>
        <v>57519.9</v>
      </c>
      <c r="S62" t="str">
        <f>IF(ABS(tbl_sales3[[#This Row],[Commission_Earned]]-tbl_sales3[[#This Row],[Calculated_Commission]])&lt;0.02,"Correct","Mismatch")</f>
        <v>Correct</v>
      </c>
      <c r="T62">
        <f>YEAR(tbl_sales3[[#This Row],[Sale_Date]])</f>
        <v>2024</v>
      </c>
      <c r="U62" s="1" t="str">
        <f>TEXT(tbl_sales3[[#This Row],[Sale_Date]],"mmmm")</f>
        <v>January</v>
      </c>
      <c r="V62" s="2">
        <f>EOMONTH(tbl_sales3[[#This Row],[Sale_Date]],0)</f>
        <v>45322</v>
      </c>
      <c r="W62" s="1" t="str">
        <f>IF(AND(tbl_sales3[[#This Row],[Sale_Price]]&gt;1000000,tbl_sales3[[#This Row],[Days_on_Market]]&lt;30),"High Demand","Normal")</f>
        <v>Normal</v>
      </c>
    </row>
    <row r="63" spans="1:23" x14ac:dyDescent="0.3">
      <c r="A63" s="1" t="s">
        <v>101</v>
      </c>
      <c r="B63" s="1" t="s">
        <v>32</v>
      </c>
      <c r="C63" s="1" t="s">
        <v>38</v>
      </c>
      <c r="D63">
        <v>1</v>
      </c>
      <c r="E63">
        <v>4</v>
      </c>
      <c r="F63">
        <v>1869</v>
      </c>
      <c r="G63">
        <v>1054284</v>
      </c>
      <c r="H63">
        <v>1023631</v>
      </c>
      <c r="I63" s="2">
        <v>45091</v>
      </c>
      <c r="J63" s="2">
        <v>45165</v>
      </c>
      <c r="K63">
        <v>74</v>
      </c>
      <c r="L63" s="1" t="s">
        <v>44</v>
      </c>
      <c r="M63" s="1" t="s">
        <v>20</v>
      </c>
      <c r="N63">
        <v>4.4999999999999998E-2</v>
      </c>
      <c r="O63">
        <v>46063.39</v>
      </c>
      <c r="P63">
        <v>-30653</v>
      </c>
      <c r="Q63" t="str">
        <f>IF(tbl_sales3[[#This Row],[Sale_Price]]&lt;500000,"Budget",
IF(tbl_sales3[[#This Row],[Sale_Price]]&lt;1000000,"Mid-Range",
"Luxury"))</f>
        <v>Luxury</v>
      </c>
      <c r="R63" s="4">
        <f>IFERROR(tbl_sales3[[#This Row],[Sale_Price]]*tbl_sales3[[#This Row],[Commission_Rate]],0)</f>
        <v>46063.394999999997</v>
      </c>
      <c r="S63" t="str">
        <f>IF(ABS(tbl_sales3[[#This Row],[Commission_Earned]]-tbl_sales3[[#This Row],[Calculated_Commission]])&lt;0.02,"Correct","Mismatch")</f>
        <v>Correct</v>
      </c>
      <c r="T63">
        <f>YEAR(tbl_sales3[[#This Row],[Sale_Date]])</f>
        <v>2023</v>
      </c>
      <c r="U63" s="1" t="str">
        <f>TEXT(tbl_sales3[[#This Row],[Sale_Date]],"mmmm")</f>
        <v>August</v>
      </c>
      <c r="V63" s="2">
        <f>EOMONTH(tbl_sales3[[#This Row],[Sale_Date]],0)</f>
        <v>45169</v>
      </c>
      <c r="W63" s="1" t="str">
        <f>IF(AND(tbl_sales3[[#This Row],[Sale_Price]]&gt;1000000,tbl_sales3[[#This Row],[Days_on_Market]]&lt;30),"High Demand","Normal")</f>
        <v>Normal</v>
      </c>
    </row>
    <row r="64" spans="1:23" x14ac:dyDescent="0.3">
      <c r="A64" s="1" t="s">
        <v>102</v>
      </c>
      <c r="B64" s="1" t="s">
        <v>32</v>
      </c>
      <c r="C64" s="1" t="s">
        <v>35</v>
      </c>
      <c r="D64">
        <v>1</v>
      </c>
      <c r="E64">
        <v>3</v>
      </c>
      <c r="F64">
        <v>2134</v>
      </c>
      <c r="G64">
        <v>1245749</v>
      </c>
      <c r="H64">
        <v>1221376</v>
      </c>
      <c r="I64" s="2">
        <v>45217</v>
      </c>
      <c r="J64" s="2">
        <v>45293</v>
      </c>
      <c r="K64">
        <v>76</v>
      </c>
      <c r="L64" s="1" t="s">
        <v>30</v>
      </c>
      <c r="M64" s="1" t="s">
        <v>20</v>
      </c>
      <c r="N64">
        <v>4.4999999999999998E-2</v>
      </c>
      <c r="O64">
        <v>54961.919999999998</v>
      </c>
      <c r="P64">
        <v>-24373</v>
      </c>
      <c r="Q64" t="str">
        <f>IF(tbl_sales3[[#This Row],[Sale_Price]]&lt;500000,"Budget",
IF(tbl_sales3[[#This Row],[Sale_Price]]&lt;1000000,"Mid-Range",
"Luxury"))</f>
        <v>Luxury</v>
      </c>
      <c r="R64" s="4">
        <f>IFERROR(tbl_sales3[[#This Row],[Sale_Price]]*tbl_sales3[[#This Row],[Commission_Rate]],0)</f>
        <v>54961.919999999998</v>
      </c>
      <c r="S64" t="str">
        <f>IF(ABS(tbl_sales3[[#This Row],[Commission_Earned]]-tbl_sales3[[#This Row],[Calculated_Commission]])&lt;0.02,"Correct","Mismatch")</f>
        <v>Correct</v>
      </c>
      <c r="T64">
        <f>YEAR(tbl_sales3[[#This Row],[Sale_Date]])</f>
        <v>2024</v>
      </c>
      <c r="U64" s="1" t="str">
        <f>TEXT(tbl_sales3[[#This Row],[Sale_Date]],"mmmm")</f>
        <v>January</v>
      </c>
      <c r="V64" s="2">
        <f>EOMONTH(tbl_sales3[[#This Row],[Sale_Date]],0)</f>
        <v>45322</v>
      </c>
      <c r="W64" s="1" t="str">
        <f>IF(AND(tbl_sales3[[#This Row],[Sale_Price]]&gt;1000000,tbl_sales3[[#This Row],[Days_on_Market]]&lt;30),"High Demand","Normal")</f>
        <v>Normal</v>
      </c>
    </row>
    <row r="65" spans="1:23" x14ac:dyDescent="0.3">
      <c r="A65" s="1" t="s">
        <v>103</v>
      </c>
      <c r="B65" s="1" t="s">
        <v>26</v>
      </c>
      <c r="C65" s="1" t="s">
        <v>38</v>
      </c>
      <c r="D65">
        <v>3</v>
      </c>
      <c r="E65">
        <v>3</v>
      </c>
      <c r="F65">
        <v>1404</v>
      </c>
      <c r="G65">
        <v>476610</v>
      </c>
      <c r="H65">
        <v>476488</v>
      </c>
      <c r="I65" s="2">
        <v>45181</v>
      </c>
      <c r="J65" s="2">
        <v>45214</v>
      </c>
      <c r="K65">
        <v>33</v>
      </c>
      <c r="L65" s="1" t="s">
        <v>53</v>
      </c>
      <c r="M65" s="1" t="s">
        <v>28</v>
      </c>
      <c r="N65">
        <v>0.04</v>
      </c>
      <c r="O65">
        <v>19059.52</v>
      </c>
      <c r="P65">
        <v>-122</v>
      </c>
      <c r="Q65" t="str">
        <f>IF(tbl_sales3[[#This Row],[Sale_Price]]&lt;500000,"Budget",
IF(tbl_sales3[[#This Row],[Sale_Price]]&lt;1000000,"Mid-Range",
"Luxury"))</f>
        <v>Budget</v>
      </c>
      <c r="R65" s="4">
        <f>IFERROR(tbl_sales3[[#This Row],[Sale_Price]]*tbl_sales3[[#This Row],[Commission_Rate]],0)</f>
        <v>19059.52</v>
      </c>
      <c r="S65" t="str">
        <f>IF(ABS(tbl_sales3[[#This Row],[Commission_Earned]]-tbl_sales3[[#This Row],[Calculated_Commission]])&lt;0.02,"Correct","Mismatch")</f>
        <v>Correct</v>
      </c>
      <c r="T65">
        <f>YEAR(tbl_sales3[[#This Row],[Sale_Date]])</f>
        <v>2023</v>
      </c>
      <c r="U65" s="1" t="str">
        <f>TEXT(tbl_sales3[[#This Row],[Sale_Date]],"mmmm")</f>
        <v>October</v>
      </c>
      <c r="V65" s="2">
        <f>EOMONTH(tbl_sales3[[#This Row],[Sale_Date]],0)</f>
        <v>45230</v>
      </c>
      <c r="W65" s="1" t="str">
        <f>IF(AND(tbl_sales3[[#This Row],[Sale_Price]]&gt;1000000,tbl_sales3[[#This Row],[Days_on_Market]]&lt;30),"High Demand","Normal")</f>
        <v>Normal</v>
      </c>
    </row>
    <row r="66" spans="1:23" x14ac:dyDescent="0.3">
      <c r="A66" s="1" t="s">
        <v>104</v>
      </c>
      <c r="B66" s="1" t="s">
        <v>37</v>
      </c>
      <c r="C66" s="1" t="s">
        <v>35</v>
      </c>
      <c r="D66">
        <v>1</v>
      </c>
      <c r="E66">
        <v>2</v>
      </c>
      <c r="F66">
        <v>707</v>
      </c>
      <c r="G66">
        <v>700258</v>
      </c>
      <c r="H66">
        <v>684234</v>
      </c>
      <c r="I66" s="2">
        <v>45197</v>
      </c>
      <c r="J66" s="2">
        <v>45213</v>
      </c>
      <c r="K66">
        <v>16</v>
      </c>
      <c r="L66" s="1" t="s">
        <v>51</v>
      </c>
      <c r="M66" s="1" t="s">
        <v>28</v>
      </c>
      <c r="N66">
        <v>0.04</v>
      </c>
      <c r="O66">
        <v>27369.360000000001</v>
      </c>
      <c r="P66">
        <v>-16024</v>
      </c>
      <c r="Q66" t="str">
        <f>IF(tbl_sales3[[#This Row],[Sale_Price]]&lt;500000,"Budget",
IF(tbl_sales3[[#This Row],[Sale_Price]]&lt;1000000,"Mid-Range",
"Luxury"))</f>
        <v>Mid-Range</v>
      </c>
      <c r="R66" s="4">
        <f>IFERROR(tbl_sales3[[#This Row],[Sale_Price]]*tbl_sales3[[#This Row],[Commission_Rate]],0)</f>
        <v>27369.360000000001</v>
      </c>
      <c r="S66" t="str">
        <f>IF(ABS(tbl_sales3[[#This Row],[Commission_Earned]]-tbl_sales3[[#This Row],[Calculated_Commission]])&lt;0.02,"Correct","Mismatch")</f>
        <v>Correct</v>
      </c>
      <c r="T66">
        <f>YEAR(tbl_sales3[[#This Row],[Sale_Date]])</f>
        <v>2023</v>
      </c>
      <c r="U66" s="1" t="str">
        <f>TEXT(tbl_sales3[[#This Row],[Sale_Date]],"mmmm")</f>
        <v>October</v>
      </c>
      <c r="V66" s="2">
        <f>EOMONTH(tbl_sales3[[#This Row],[Sale_Date]],0)</f>
        <v>45230</v>
      </c>
      <c r="W66" s="1" t="str">
        <f>IF(AND(tbl_sales3[[#This Row],[Sale_Price]]&gt;1000000,tbl_sales3[[#This Row],[Days_on_Market]]&lt;30),"High Demand","Normal")</f>
        <v>Normal</v>
      </c>
    </row>
    <row r="67" spans="1:23" x14ac:dyDescent="0.3">
      <c r="A67" s="1" t="s">
        <v>105</v>
      </c>
      <c r="B67" s="1" t="s">
        <v>26</v>
      </c>
      <c r="C67" s="1" t="s">
        <v>33</v>
      </c>
      <c r="D67">
        <v>3</v>
      </c>
      <c r="E67">
        <v>4</v>
      </c>
      <c r="F67">
        <v>3446</v>
      </c>
      <c r="G67">
        <v>1411326</v>
      </c>
      <c r="H67">
        <v>1359126</v>
      </c>
      <c r="I67" s="2">
        <v>45557</v>
      </c>
      <c r="J67" s="2">
        <v>45615</v>
      </c>
      <c r="K67">
        <v>58</v>
      </c>
      <c r="L67" s="1" t="s">
        <v>53</v>
      </c>
      <c r="M67" s="1" t="s">
        <v>20</v>
      </c>
      <c r="N67">
        <v>0.04</v>
      </c>
      <c r="O67">
        <v>54365.04</v>
      </c>
      <c r="P67">
        <v>-52200</v>
      </c>
      <c r="Q67" t="str">
        <f>IF(tbl_sales3[[#This Row],[Sale_Price]]&lt;500000,"Budget",
IF(tbl_sales3[[#This Row],[Sale_Price]]&lt;1000000,"Mid-Range",
"Luxury"))</f>
        <v>Luxury</v>
      </c>
      <c r="R67" s="4">
        <f>IFERROR(tbl_sales3[[#This Row],[Sale_Price]]*tbl_sales3[[#This Row],[Commission_Rate]],0)</f>
        <v>54365.04</v>
      </c>
      <c r="S67" t="str">
        <f>IF(ABS(tbl_sales3[[#This Row],[Commission_Earned]]-tbl_sales3[[#This Row],[Calculated_Commission]])&lt;0.02,"Correct","Mismatch")</f>
        <v>Correct</v>
      </c>
      <c r="T67">
        <f>YEAR(tbl_sales3[[#This Row],[Sale_Date]])</f>
        <v>2024</v>
      </c>
      <c r="U67" s="1" t="str">
        <f>TEXT(tbl_sales3[[#This Row],[Sale_Date]],"mmmm")</f>
        <v>November</v>
      </c>
      <c r="V67" s="2">
        <f>EOMONTH(tbl_sales3[[#This Row],[Sale_Date]],0)</f>
        <v>45626</v>
      </c>
      <c r="W67" s="1" t="str">
        <f>IF(AND(tbl_sales3[[#This Row],[Sale_Price]]&gt;1000000,tbl_sales3[[#This Row],[Days_on_Market]]&lt;30),"High Demand","Normal")</f>
        <v>Normal</v>
      </c>
    </row>
    <row r="68" spans="1:23" x14ac:dyDescent="0.3">
      <c r="A68" s="1" t="s">
        <v>106</v>
      </c>
      <c r="B68" s="1" t="s">
        <v>17</v>
      </c>
      <c r="C68" s="1" t="s">
        <v>33</v>
      </c>
      <c r="D68">
        <v>5</v>
      </c>
      <c r="E68">
        <v>2</v>
      </c>
      <c r="F68">
        <v>3498</v>
      </c>
      <c r="G68">
        <v>1106507</v>
      </c>
      <c r="H68">
        <v>1042859</v>
      </c>
      <c r="I68" s="2">
        <v>45266</v>
      </c>
      <c r="J68" s="2">
        <v>45313</v>
      </c>
      <c r="K68">
        <v>47</v>
      </c>
      <c r="L68" s="1" t="s">
        <v>44</v>
      </c>
      <c r="M68" s="1" t="s">
        <v>28</v>
      </c>
      <c r="N68">
        <v>0.04</v>
      </c>
      <c r="O68">
        <v>41714.36</v>
      </c>
      <c r="P68">
        <v>-63648</v>
      </c>
      <c r="Q68" t="str">
        <f>IF(tbl_sales3[[#This Row],[Sale_Price]]&lt;500000,"Budget",
IF(tbl_sales3[[#This Row],[Sale_Price]]&lt;1000000,"Mid-Range",
"Luxury"))</f>
        <v>Luxury</v>
      </c>
      <c r="R68" s="4">
        <f>IFERROR(tbl_sales3[[#This Row],[Sale_Price]]*tbl_sales3[[#This Row],[Commission_Rate]],0)</f>
        <v>41714.36</v>
      </c>
      <c r="S68" t="str">
        <f>IF(ABS(tbl_sales3[[#This Row],[Commission_Earned]]-tbl_sales3[[#This Row],[Calculated_Commission]])&lt;0.02,"Correct","Mismatch")</f>
        <v>Correct</v>
      </c>
      <c r="T68">
        <f>YEAR(tbl_sales3[[#This Row],[Sale_Date]])</f>
        <v>2024</v>
      </c>
      <c r="U68" s="1" t="str">
        <f>TEXT(tbl_sales3[[#This Row],[Sale_Date]],"mmmm")</f>
        <v>January</v>
      </c>
      <c r="V68" s="2">
        <f>EOMONTH(tbl_sales3[[#This Row],[Sale_Date]],0)</f>
        <v>45322</v>
      </c>
      <c r="W68" s="1" t="str">
        <f>IF(AND(tbl_sales3[[#This Row],[Sale_Price]]&gt;1000000,tbl_sales3[[#This Row],[Days_on_Market]]&lt;30),"High Demand","Normal")</f>
        <v>Normal</v>
      </c>
    </row>
    <row r="69" spans="1:23" x14ac:dyDescent="0.3">
      <c r="A69" s="1" t="s">
        <v>107</v>
      </c>
      <c r="B69" s="1" t="s">
        <v>59</v>
      </c>
      <c r="C69" s="1" t="s">
        <v>33</v>
      </c>
      <c r="D69">
        <v>2</v>
      </c>
      <c r="E69">
        <v>4</v>
      </c>
      <c r="F69">
        <v>3443</v>
      </c>
      <c r="G69">
        <v>918845</v>
      </c>
      <c r="H69">
        <v>850035</v>
      </c>
      <c r="I69" s="2">
        <v>45489</v>
      </c>
      <c r="J69" s="2">
        <v>45520</v>
      </c>
      <c r="K69">
        <v>31</v>
      </c>
      <c r="L69" s="1" t="s">
        <v>30</v>
      </c>
      <c r="M69" s="1" t="s">
        <v>24</v>
      </c>
      <c r="N69">
        <v>4.4999999999999998E-2</v>
      </c>
      <c r="O69">
        <v>38251.57</v>
      </c>
      <c r="P69">
        <v>-68810</v>
      </c>
      <c r="Q69" t="str">
        <f>IF(tbl_sales3[[#This Row],[Sale_Price]]&lt;500000,"Budget",
IF(tbl_sales3[[#This Row],[Sale_Price]]&lt;1000000,"Mid-Range",
"Luxury"))</f>
        <v>Mid-Range</v>
      </c>
      <c r="R69" s="4">
        <f>IFERROR(tbl_sales3[[#This Row],[Sale_Price]]*tbl_sales3[[#This Row],[Commission_Rate]],0)</f>
        <v>38251.574999999997</v>
      </c>
      <c r="S69" t="str">
        <f>IF(ABS(tbl_sales3[[#This Row],[Commission_Earned]]-tbl_sales3[[#This Row],[Calculated_Commission]])&lt;0.02,"Correct","Mismatch")</f>
        <v>Correct</v>
      </c>
      <c r="T69">
        <f>YEAR(tbl_sales3[[#This Row],[Sale_Date]])</f>
        <v>2024</v>
      </c>
      <c r="U69" s="1" t="str">
        <f>TEXT(tbl_sales3[[#This Row],[Sale_Date]],"mmmm")</f>
        <v>August</v>
      </c>
      <c r="V69" s="2">
        <f>EOMONTH(tbl_sales3[[#This Row],[Sale_Date]],0)</f>
        <v>45535</v>
      </c>
      <c r="W69" s="1" t="str">
        <f>IF(AND(tbl_sales3[[#This Row],[Sale_Price]]&gt;1000000,tbl_sales3[[#This Row],[Days_on_Market]]&lt;30),"High Demand","Normal")</f>
        <v>Normal</v>
      </c>
    </row>
    <row r="70" spans="1:23" x14ac:dyDescent="0.3">
      <c r="A70" s="1" t="s">
        <v>108</v>
      </c>
      <c r="B70" s="1" t="s">
        <v>32</v>
      </c>
      <c r="C70" s="1" t="s">
        <v>18</v>
      </c>
      <c r="D70">
        <v>5</v>
      </c>
      <c r="E70">
        <v>2</v>
      </c>
      <c r="F70">
        <v>742</v>
      </c>
      <c r="G70">
        <v>1555630</v>
      </c>
      <c r="H70">
        <v>1547429</v>
      </c>
      <c r="I70" s="2">
        <v>45133</v>
      </c>
      <c r="J70" s="2">
        <v>45182</v>
      </c>
      <c r="K70">
        <v>49</v>
      </c>
      <c r="L70" s="1" t="s">
        <v>53</v>
      </c>
      <c r="M70" s="1" t="s">
        <v>20</v>
      </c>
      <c r="N70">
        <v>0.04</v>
      </c>
      <c r="O70">
        <v>61897.16</v>
      </c>
      <c r="P70">
        <v>-8201</v>
      </c>
      <c r="Q70" t="str">
        <f>IF(tbl_sales3[[#This Row],[Sale_Price]]&lt;500000,"Budget",
IF(tbl_sales3[[#This Row],[Sale_Price]]&lt;1000000,"Mid-Range",
"Luxury"))</f>
        <v>Luxury</v>
      </c>
      <c r="R70" s="4">
        <f>IFERROR(tbl_sales3[[#This Row],[Sale_Price]]*tbl_sales3[[#This Row],[Commission_Rate]],0)</f>
        <v>61897.16</v>
      </c>
      <c r="S70" t="str">
        <f>IF(ABS(tbl_sales3[[#This Row],[Commission_Earned]]-tbl_sales3[[#This Row],[Calculated_Commission]])&lt;0.02,"Correct","Mismatch")</f>
        <v>Correct</v>
      </c>
      <c r="T70">
        <f>YEAR(tbl_sales3[[#This Row],[Sale_Date]])</f>
        <v>2023</v>
      </c>
      <c r="U70" s="1" t="str">
        <f>TEXT(tbl_sales3[[#This Row],[Sale_Date]],"mmmm")</f>
        <v>September</v>
      </c>
      <c r="V70" s="2">
        <f>EOMONTH(tbl_sales3[[#This Row],[Sale_Date]],0)</f>
        <v>45199</v>
      </c>
      <c r="W70" s="1" t="str">
        <f>IF(AND(tbl_sales3[[#This Row],[Sale_Price]]&gt;1000000,tbl_sales3[[#This Row],[Days_on_Market]]&lt;30),"High Demand","Normal")</f>
        <v>Normal</v>
      </c>
    </row>
    <row r="71" spans="1:23" x14ac:dyDescent="0.3">
      <c r="A71" s="1" t="s">
        <v>109</v>
      </c>
      <c r="B71" s="1" t="s">
        <v>22</v>
      </c>
      <c r="C71" s="1" t="s">
        <v>23</v>
      </c>
      <c r="D71">
        <v>5</v>
      </c>
      <c r="E71">
        <v>3</v>
      </c>
      <c r="F71">
        <v>681</v>
      </c>
      <c r="G71">
        <v>1120670</v>
      </c>
      <c r="H71">
        <v>1093904</v>
      </c>
      <c r="I71" s="2">
        <v>45032</v>
      </c>
      <c r="J71" s="2">
        <v>45111</v>
      </c>
      <c r="K71">
        <v>79</v>
      </c>
      <c r="L71" s="1" t="s">
        <v>42</v>
      </c>
      <c r="M71" s="1" t="s">
        <v>24</v>
      </c>
      <c r="N71">
        <v>0.05</v>
      </c>
      <c r="O71">
        <v>54695.199999999997</v>
      </c>
      <c r="P71">
        <v>-26766</v>
      </c>
      <c r="Q71" t="str">
        <f>IF(tbl_sales3[[#This Row],[Sale_Price]]&lt;500000,"Budget",
IF(tbl_sales3[[#This Row],[Sale_Price]]&lt;1000000,"Mid-Range",
"Luxury"))</f>
        <v>Luxury</v>
      </c>
      <c r="R71" s="4">
        <f>IFERROR(tbl_sales3[[#This Row],[Sale_Price]]*tbl_sales3[[#This Row],[Commission_Rate]],0)</f>
        <v>54695.200000000004</v>
      </c>
      <c r="S71" t="str">
        <f>IF(ABS(tbl_sales3[[#This Row],[Commission_Earned]]-tbl_sales3[[#This Row],[Calculated_Commission]])&lt;0.02,"Correct","Mismatch")</f>
        <v>Correct</v>
      </c>
      <c r="T71">
        <f>YEAR(tbl_sales3[[#This Row],[Sale_Date]])</f>
        <v>2023</v>
      </c>
      <c r="U71" s="1" t="str">
        <f>TEXT(tbl_sales3[[#This Row],[Sale_Date]],"mmmm")</f>
        <v>July</v>
      </c>
      <c r="V71" s="2">
        <f>EOMONTH(tbl_sales3[[#This Row],[Sale_Date]],0)</f>
        <v>45138</v>
      </c>
      <c r="W71" s="1" t="str">
        <f>IF(AND(tbl_sales3[[#This Row],[Sale_Price]]&gt;1000000,tbl_sales3[[#This Row],[Days_on_Market]]&lt;30),"High Demand","Normal")</f>
        <v>Normal</v>
      </c>
    </row>
    <row r="72" spans="1:23" x14ac:dyDescent="0.3">
      <c r="A72" s="1" t="s">
        <v>110</v>
      </c>
      <c r="B72" s="1" t="s">
        <v>17</v>
      </c>
      <c r="C72" s="1" t="s">
        <v>23</v>
      </c>
      <c r="D72">
        <v>1</v>
      </c>
      <c r="E72">
        <v>1</v>
      </c>
      <c r="F72">
        <v>2275</v>
      </c>
      <c r="G72">
        <v>600781</v>
      </c>
      <c r="H72">
        <v>572170</v>
      </c>
      <c r="I72" s="2">
        <v>45236</v>
      </c>
      <c r="J72" s="2">
        <v>45296</v>
      </c>
      <c r="K72">
        <v>60</v>
      </c>
      <c r="L72" s="1" t="s">
        <v>39</v>
      </c>
      <c r="M72" s="1" t="s">
        <v>24</v>
      </c>
      <c r="N72">
        <v>0.05</v>
      </c>
      <c r="O72">
        <v>28608.5</v>
      </c>
      <c r="P72">
        <v>-28611</v>
      </c>
      <c r="Q72" t="str">
        <f>IF(tbl_sales3[[#This Row],[Sale_Price]]&lt;500000,"Budget",
IF(tbl_sales3[[#This Row],[Sale_Price]]&lt;1000000,"Mid-Range",
"Luxury"))</f>
        <v>Mid-Range</v>
      </c>
      <c r="R72" s="4">
        <f>IFERROR(tbl_sales3[[#This Row],[Sale_Price]]*tbl_sales3[[#This Row],[Commission_Rate]],0)</f>
        <v>28608.5</v>
      </c>
      <c r="S72" t="str">
        <f>IF(ABS(tbl_sales3[[#This Row],[Commission_Earned]]-tbl_sales3[[#This Row],[Calculated_Commission]])&lt;0.02,"Correct","Mismatch")</f>
        <v>Correct</v>
      </c>
      <c r="T72">
        <f>YEAR(tbl_sales3[[#This Row],[Sale_Date]])</f>
        <v>2024</v>
      </c>
      <c r="U72" s="1" t="str">
        <f>TEXT(tbl_sales3[[#This Row],[Sale_Date]],"mmmm")</f>
        <v>January</v>
      </c>
      <c r="V72" s="2">
        <f>EOMONTH(tbl_sales3[[#This Row],[Sale_Date]],0)</f>
        <v>45322</v>
      </c>
      <c r="W72" s="1" t="str">
        <f>IF(AND(tbl_sales3[[#This Row],[Sale_Price]]&gt;1000000,tbl_sales3[[#This Row],[Days_on_Market]]&lt;30),"High Demand","Normal")</f>
        <v>Normal</v>
      </c>
    </row>
    <row r="73" spans="1:23" x14ac:dyDescent="0.3">
      <c r="A73" s="1" t="s">
        <v>111</v>
      </c>
      <c r="B73" s="1" t="s">
        <v>59</v>
      </c>
      <c r="C73" s="1" t="s">
        <v>38</v>
      </c>
      <c r="D73">
        <v>2</v>
      </c>
      <c r="E73">
        <v>4</v>
      </c>
      <c r="F73">
        <v>603</v>
      </c>
      <c r="G73">
        <v>1334577</v>
      </c>
      <c r="H73">
        <v>1306315</v>
      </c>
      <c r="I73" s="2">
        <v>45598</v>
      </c>
      <c r="J73" s="2">
        <v>45643</v>
      </c>
      <c r="K73">
        <v>45</v>
      </c>
      <c r="L73" s="1" t="s">
        <v>19</v>
      </c>
      <c r="M73" s="1" t="s">
        <v>20</v>
      </c>
      <c r="N73">
        <v>0.05</v>
      </c>
      <c r="O73">
        <v>65315.75</v>
      </c>
      <c r="P73">
        <v>-28262</v>
      </c>
      <c r="Q73" t="str">
        <f>IF(tbl_sales3[[#This Row],[Sale_Price]]&lt;500000,"Budget",
IF(tbl_sales3[[#This Row],[Sale_Price]]&lt;1000000,"Mid-Range",
"Luxury"))</f>
        <v>Luxury</v>
      </c>
      <c r="R73" s="4">
        <f>IFERROR(tbl_sales3[[#This Row],[Sale_Price]]*tbl_sales3[[#This Row],[Commission_Rate]],0)</f>
        <v>65315.75</v>
      </c>
      <c r="S73" t="str">
        <f>IF(ABS(tbl_sales3[[#This Row],[Commission_Earned]]-tbl_sales3[[#This Row],[Calculated_Commission]])&lt;0.02,"Correct","Mismatch")</f>
        <v>Correct</v>
      </c>
      <c r="T73">
        <f>YEAR(tbl_sales3[[#This Row],[Sale_Date]])</f>
        <v>2024</v>
      </c>
      <c r="U73" s="1" t="str">
        <f>TEXT(tbl_sales3[[#This Row],[Sale_Date]],"mmmm")</f>
        <v>December</v>
      </c>
      <c r="V73" s="2">
        <f>EOMONTH(tbl_sales3[[#This Row],[Sale_Date]],0)</f>
        <v>45657</v>
      </c>
      <c r="W73" s="1" t="str">
        <f>IF(AND(tbl_sales3[[#This Row],[Sale_Price]]&gt;1000000,tbl_sales3[[#This Row],[Days_on_Market]]&lt;30),"High Demand","Normal")</f>
        <v>Normal</v>
      </c>
    </row>
    <row r="74" spans="1:23" x14ac:dyDescent="0.3">
      <c r="A74" s="1" t="s">
        <v>112</v>
      </c>
      <c r="B74" s="1" t="s">
        <v>17</v>
      </c>
      <c r="C74" s="1" t="s">
        <v>23</v>
      </c>
      <c r="D74">
        <v>5</v>
      </c>
      <c r="E74">
        <v>4</v>
      </c>
      <c r="F74">
        <v>804</v>
      </c>
      <c r="G74">
        <v>1744750</v>
      </c>
      <c r="H74">
        <v>1734659</v>
      </c>
      <c r="I74" s="2">
        <v>45310</v>
      </c>
      <c r="J74" s="2">
        <v>45369</v>
      </c>
      <c r="K74">
        <v>59</v>
      </c>
      <c r="L74" s="1" t="s">
        <v>30</v>
      </c>
      <c r="M74" s="1" t="s">
        <v>24</v>
      </c>
      <c r="N74">
        <v>0.04</v>
      </c>
      <c r="O74">
        <v>69386.36</v>
      </c>
      <c r="P74">
        <v>-10091</v>
      </c>
      <c r="Q74" t="str">
        <f>IF(tbl_sales3[[#This Row],[Sale_Price]]&lt;500000,"Budget",
IF(tbl_sales3[[#This Row],[Sale_Price]]&lt;1000000,"Mid-Range",
"Luxury"))</f>
        <v>Luxury</v>
      </c>
      <c r="R74" s="4">
        <f>IFERROR(tbl_sales3[[#This Row],[Sale_Price]]*tbl_sales3[[#This Row],[Commission_Rate]],0)</f>
        <v>69386.36</v>
      </c>
      <c r="S74" t="str">
        <f>IF(ABS(tbl_sales3[[#This Row],[Commission_Earned]]-tbl_sales3[[#This Row],[Calculated_Commission]])&lt;0.02,"Correct","Mismatch")</f>
        <v>Correct</v>
      </c>
      <c r="T74">
        <f>YEAR(tbl_sales3[[#This Row],[Sale_Date]])</f>
        <v>2024</v>
      </c>
      <c r="U74" s="1" t="str">
        <f>TEXT(tbl_sales3[[#This Row],[Sale_Date]],"mmmm")</f>
        <v>March</v>
      </c>
      <c r="V74" s="2">
        <f>EOMONTH(tbl_sales3[[#This Row],[Sale_Date]],0)</f>
        <v>45382</v>
      </c>
      <c r="W74" s="1" t="str">
        <f>IF(AND(tbl_sales3[[#This Row],[Sale_Price]]&gt;1000000,tbl_sales3[[#This Row],[Days_on_Market]]&lt;30),"High Demand","Normal")</f>
        <v>Normal</v>
      </c>
    </row>
    <row r="75" spans="1:23" x14ac:dyDescent="0.3">
      <c r="A75" s="1" t="s">
        <v>113</v>
      </c>
      <c r="B75" s="1" t="s">
        <v>41</v>
      </c>
      <c r="C75" s="1" t="s">
        <v>38</v>
      </c>
      <c r="D75">
        <v>2</v>
      </c>
      <c r="E75">
        <v>4</v>
      </c>
      <c r="F75">
        <v>1282</v>
      </c>
      <c r="G75">
        <v>675423</v>
      </c>
      <c r="H75">
        <v>653450</v>
      </c>
      <c r="I75" s="2">
        <v>45072</v>
      </c>
      <c r="J75" s="2">
        <v>45077</v>
      </c>
      <c r="K75">
        <v>5</v>
      </c>
      <c r="L75" s="1" t="s">
        <v>27</v>
      </c>
      <c r="M75" s="1" t="s">
        <v>20</v>
      </c>
      <c r="N75">
        <v>0.05</v>
      </c>
      <c r="O75">
        <v>32672.5</v>
      </c>
      <c r="P75">
        <v>-21973</v>
      </c>
      <c r="Q75" t="str">
        <f>IF(tbl_sales3[[#This Row],[Sale_Price]]&lt;500000,"Budget",
IF(tbl_sales3[[#This Row],[Sale_Price]]&lt;1000000,"Mid-Range",
"Luxury"))</f>
        <v>Mid-Range</v>
      </c>
      <c r="R75" s="4">
        <f>IFERROR(tbl_sales3[[#This Row],[Sale_Price]]*tbl_sales3[[#This Row],[Commission_Rate]],0)</f>
        <v>32672.5</v>
      </c>
      <c r="S75" t="str">
        <f>IF(ABS(tbl_sales3[[#This Row],[Commission_Earned]]-tbl_sales3[[#This Row],[Calculated_Commission]])&lt;0.02,"Correct","Mismatch")</f>
        <v>Correct</v>
      </c>
      <c r="T75">
        <f>YEAR(tbl_sales3[[#This Row],[Sale_Date]])</f>
        <v>2023</v>
      </c>
      <c r="U75" s="1" t="str">
        <f>TEXT(tbl_sales3[[#This Row],[Sale_Date]],"mmmm")</f>
        <v>May</v>
      </c>
      <c r="V75" s="2">
        <f>EOMONTH(tbl_sales3[[#This Row],[Sale_Date]],0)</f>
        <v>45077</v>
      </c>
      <c r="W75" s="1" t="str">
        <f>IF(AND(tbl_sales3[[#This Row],[Sale_Price]]&gt;1000000,tbl_sales3[[#This Row],[Days_on_Market]]&lt;30),"High Demand","Normal")</f>
        <v>Normal</v>
      </c>
    </row>
    <row r="76" spans="1:23" x14ac:dyDescent="0.3">
      <c r="A76" s="1" t="s">
        <v>114</v>
      </c>
      <c r="B76" s="1" t="s">
        <v>41</v>
      </c>
      <c r="C76" s="1" t="s">
        <v>23</v>
      </c>
      <c r="D76">
        <v>1</v>
      </c>
      <c r="E76">
        <v>3</v>
      </c>
      <c r="F76">
        <v>1878</v>
      </c>
      <c r="G76">
        <v>1012813</v>
      </c>
      <c r="H76">
        <v>974014</v>
      </c>
      <c r="I76" s="2">
        <v>45044</v>
      </c>
      <c r="J76" s="2">
        <v>45085</v>
      </c>
      <c r="K76">
        <v>41</v>
      </c>
      <c r="L76" s="1" t="s">
        <v>53</v>
      </c>
      <c r="M76" s="1" t="s">
        <v>20</v>
      </c>
      <c r="N76">
        <v>0.05</v>
      </c>
      <c r="O76">
        <v>48700.7</v>
      </c>
      <c r="P76">
        <v>-38799</v>
      </c>
      <c r="Q76" t="str">
        <f>IF(tbl_sales3[[#This Row],[Sale_Price]]&lt;500000,"Budget",
IF(tbl_sales3[[#This Row],[Sale_Price]]&lt;1000000,"Mid-Range",
"Luxury"))</f>
        <v>Mid-Range</v>
      </c>
      <c r="R76" s="4">
        <f>IFERROR(tbl_sales3[[#This Row],[Sale_Price]]*tbl_sales3[[#This Row],[Commission_Rate]],0)</f>
        <v>48700.700000000004</v>
      </c>
      <c r="S76" t="str">
        <f>IF(ABS(tbl_sales3[[#This Row],[Commission_Earned]]-tbl_sales3[[#This Row],[Calculated_Commission]])&lt;0.02,"Correct","Mismatch")</f>
        <v>Correct</v>
      </c>
      <c r="T76">
        <f>YEAR(tbl_sales3[[#This Row],[Sale_Date]])</f>
        <v>2023</v>
      </c>
      <c r="U76" s="1" t="str">
        <f>TEXT(tbl_sales3[[#This Row],[Sale_Date]],"mmmm")</f>
        <v>June</v>
      </c>
      <c r="V76" s="2">
        <f>EOMONTH(tbl_sales3[[#This Row],[Sale_Date]],0)</f>
        <v>45107</v>
      </c>
      <c r="W76" s="1" t="str">
        <f>IF(AND(tbl_sales3[[#This Row],[Sale_Price]]&gt;1000000,tbl_sales3[[#This Row],[Days_on_Market]]&lt;30),"High Demand","Normal")</f>
        <v>Normal</v>
      </c>
    </row>
    <row r="77" spans="1:23" x14ac:dyDescent="0.3">
      <c r="A77" s="1" t="s">
        <v>115</v>
      </c>
      <c r="B77" s="1" t="s">
        <v>22</v>
      </c>
      <c r="C77" s="1" t="s">
        <v>23</v>
      </c>
      <c r="D77">
        <v>4</v>
      </c>
      <c r="E77">
        <v>2</v>
      </c>
      <c r="F77">
        <v>3264</v>
      </c>
      <c r="G77">
        <v>1548653</v>
      </c>
      <c r="H77">
        <v>1491677</v>
      </c>
      <c r="I77" s="2">
        <v>45250</v>
      </c>
      <c r="J77" s="2">
        <v>45274</v>
      </c>
      <c r="K77">
        <v>24</v>
      </c>
      <c r="L77" s="1" t="s">
        <v>19</v>
      </c>
      <c r="M77" s="1" t="s">
        <v>24</v>
      </c>
      <c r="N77">
        <v>0.05</v>
      </c>
      <c r="O77">
        <v>74583.850000000006</v>
      </c>
      <c r="P77">
        <v>-56976</v>
      </c>
      <c r="Q77" t="str">
        <f>IF(tbl_sales3[[#This Row],[Sale_Price]]&lt;500000,"Budget",
IF(tbl_sales3[[#This Row],[Sale_Price]]&lt;1000000,"Mid-Range",
"Luxury"))</f>
        <v>Luxury</v>
      </c>
      <c r="R77" s="4">
        <f>IFERROR(tbl_sales3[[#This Row],[Sale_Price]]*tbl_sales3[[#This Row],[Commission_Rate]],0)</f>
        <v>74583.850000000006</v>
      </c>
      <c r="S77" t="str">
        <f>IF(ABS(tbl_sales3[[#This Row],[Commission_Earned]]-tbl_sales3[[#This Row],[Calculated_Commission]])&lt;0.02,"Correct","Mismatch")</f>
        <v>Correct</v>
      </c>
      <c r="T77">
        <f>YEAR(tbl_sales3[[#This Row],[Sale_Date]])</f>
        <v>2023</v>
      </c>
      <c r="U77" s="1" t="str">
        <f>TEXT(tbl_sales3[[#This Row],[Sale_Date]],"mmmm")</f>
        <v>December</v>
      </c>
      <c r="V77" s="2">
        <f>EOMONTH(tbl_sales3[[#This Row],[Sale_Date]],0)</f>
        <v>45291</v>
      </c>
      <c r="W77" s="1" t="str">
        <f>IF(AND(tbl_sales3[[#This Row],[Sale_Price]]&gt;1000000,tbl_sales3[[#This Row],[Days_on_Market]]&lt;30),"High Demand","Normal")</f>
        <v>High Demand</v>
      </c>
    </row>
    <row r="78" spans="1:23" x14ac:dyDescent="0.3">
      <c r="A78" s="1" t="s">
        <v>116</v>
      </c>
      <c r="B78" s="1" t="s">
        <v>41</v>
      </c>
      <c r="C78" s="1" t="s">
        <v>38</v>
      </c>
      <c r="D78">
        <v>3</v>
      </c>
      <c r="E78">
        <v>1</v>
      </c>
      <c r="F78">
        <v>2300</v>
      </c>
      <c r="G78">
        <v>919715</v>
      </c>
      <c r="H78">
        <v>862897</v>
      </c>
      <c r="I78" s="2">
        <v>45117</v>
      </c>
      <c r="J78" s="2">
        <v>45181</v>
      </c>
      <c r="K78">
        <v>64</v>
      </c>
      <c r="L78" s="1" t="s">
        <v>19</v>
      </c>
      <c r="M78" s="1" t="s">
        <v>28</v>
      </c>
      <c r="N78">
        <v>0.05</v>
      </c>
      <c r="O78">
        <v>43144.85</v>
      </c>
      <c r="P78">
        <v>-56818</v>
      </c>
      <c r="Q78" t="str">
        <f>IF(tbl_sales3[[#This Row],[Sale_Price]]&lt;500000,"Budget",
IF(tbl_sales3[[#This Row],[Sale_Price]]&lt;1000000,"Mid-Range",
"Luxury"))</f>
        <v>Mid-Range</v>
      </c>
      <c r="R78" s="4">
        <f>IFERROR(tbl_sales3[[#This Row],[Sale_Price]]*tbl_sales3[[#This Row],[Commission_Rate]],0)</f>
        <v>43144.850000000006</v>
      </c>
      <c r="S78" t="str">
        <f>IF(ABS(tbl_sales3[[#This Row],[Commission_Earned]]-tbl_sales3[[#This Row],[Calculated_Commission]])&lt;0.02,"Correct","Mismatch")</f>
        <v>Correct</v>
      </c>
      <c r="T78">
        <f>YEAR(tbl_sales3[[#This Row],[Sale_Date]])</f>
        <v>2023</v>
      </c>
      <c r="U78" s="1" t="str">
        <f>TEXT(tbl_sales3[[#This Row],[Sale_Date]],"mmmm")</f>
        <v>September</v>
      </c>
      <c r="V78" s="2">
        <f>EOMONTH(tbl_sales3[[#This Row],[Sale_Date]],0)</f>
        <v>45199</v>
      </c>
      <c r="W78" s="1" t="str">
        <f>IF(AND(tbl_sales3[[#This Row],[Sale_Price]]&gt;1000000,tbl_sales3[[#This Row],[Days_on_Market]]&lt;30),"High Demand","Normal")</f>
        <v>Normal</v>
      </c>
    </row>
    <row r="79" spans="1:23" x14ac:dyDescent="0.3">
      <c r="A79" s="1" t="s">
        <v>117</v>
      </c>
      <c r="B79" s="1" t="s">
        <v>59</v>
      </c>
      <c r="C79" s="1" t="s">
        <v>33</v>
      </c>
      <c r="D79">
        <v>4</v>
      </c>
      <c r="E79">
        <v>2</v>
      </c>
      <c r="F79">
        <v>1539</v>
      </c>
      <c r="G79">
        <v>833353</v>
      </c>
      <c r="H79">
        <v>773332</v>
      </c>
      <c r="I79" s="2">
        <v>45584</v>
      </c>
      <c r="J79" s="2">
        <v>45643</v>
      </c>
      <c r="K79">
        <v>59</v>
      </c>
      <c r="L79" s="1" t="s">
        <v>53</v>
      </c>
      <c r="M79" s="1" t="s">
        <v>28</v>
      </c>
      <c r="N79">
        <v>0.05</v>
      </c>
      <c r="O79">
        <v>38666.6</v>
      </c>
      <c r="P79">
        <v>-60021</v>
      </c>
      <c r="Q79" t="str">
        <f>IF(tbl_sales3[[#This Row],[Sale_Price]]&lt;500000,"Budget",
IF(tbl_sales3[[#This Row],[Sale_Price]]&lt;1000000,"Mid-Range",
"Luxury"))</f>
        <v>Mid-Range</v>
      </c>
      <c r="R79" s="4">
        <f>IFERROR(tbl_sales3[[#This Row],[Sale_Price]]*tbl_sales3[[#This Row],[Commission_Rate]],0)</f>
        <v>38666.6</v>
      </c>
      <c r="S79" t="str">
        <f>IF(ABS(tbl_sales3[[#This Row],[Commission_Earned]]-tbl_sales3[[#This Row],[Calculated_Commission]])&lt;0.02,"Correct","Mismatch")</f>
        <v>Correct</v>
      </c>
      <c r="T79">
        <f>YEAR(tbl_sales3[[#This Row],[Sale_Date]])</f>
        <v>2024</v>
      </c>
      <c r="U79" s="1" t="str">
        <f>TEXT(tbl_sales3[[#This Row],[Sale_Date]],"mmmm")</f>
        <v>December</v>
      </c>
      <c r="V79" s="2">
        <f>EOMONTH(tbl_sales3[[#This Row],[Sale_Date]],0)</f>
        <v>45657</v>
      </c>
      <c r="W79" s="1" t="str">
        <f>IF(AND(tbl_sales3[[#This Row],[Sale_Price]]&gt;1000000,tbl_sales3[[#This Row],[Days_on_Market]]&lt;30),"High Demand","Normal")</f>
        <v>Normal</v>
      </c>
    </row>
    <row r="80" spans="1:23" x14ac:dyDescent="0.3">
      <c r="A80" s="1" t="s">
        <v>118</v>
      </c>
      <c r="B80" s="1" t="s">
        <v>17</v>
      </c>
      <c r="C80" s="1" t="s">
        <v>18</v>
      </c>
      <c r="D80">
        <v>1</v>
      </c>
      <c r="E80">
        <v>1</v>
      </c>
      <c r="F80">
        <v>2278</v>
      </c>
      <c r="G80">
        <v>828348</v>
      </c>
      <c r="H80">
        <v>808745</v>
      </c>
      <c r="I80" s="2">
        <v>45456</v>
      </c>
      <c r="J80" s="2">
        <v>45501</v>
      </c>
      <c r="K80">
        <v>45</v>
      </c>
      <c r="L80" s="1" t="s">
        <v>51</v>
      </c>
      <c r="M80" s="1" t="s">
        <v>24</v>
      </c>
      <c r="N80">
        <v>0.04</v>
      </c>
      <c r="O80">
        <v>32349.8</v>
      </c>
      <c r="P80">
        <v>-19603</v>
      </c>
      <c r="Q80" t="str">
        <f>IF(tbl_sales3[[#This Row],[Sale_Price]]&lt;500000,"Budget",
IF(tbl_sales3[[#This Row],[Sale_Price]]&lt;1000000,"Mid-Range",
"Luxury"))</f>
        <v>Mid-Range</v>
      </c>
      <c r="R80" s="4">
        <f>IFERROR(tbl_sales3[[#This Row],[Sale_Price]]*tbl_sales3[[#This Row],[Commission_Rate]],0)</f>
        <v>32349.8</v>
      </c>
      <c r="S80" t="str">
        <f>IF(ABS(tbl_sales3[[#This Row],[Commission_Earned]]-tbl_sales3[[#This Row],[Calculated_Commission]])&lt;0.02,"Correct","Mismatch")</f>
        <v>Correct</v>
      </c>
      <c r="T80">
        <f>YEAR(tbl_sales3[[#This Row],[Sale_Date]])</f>
        <v>2024</v>
      </c>
      <c r="U80" s="1" t="str">
        <f>TEXT(tbl_sales3[[#This Row],[Sale_Date]],"mmmm")</f>
        <v>July</v>
      </c>
      <c r="V80" s="2">
        <f>EOMONTH(tbl_sales3[[#This Row],[Sale_Date]],0)</f>
        <v>45504</v>
      </c>
      <c r="W80" s="1" t="str">
        <f>IF(AND(tbl_sales3[[#This Row],[Sale_Price]]&gt;1000000,tbl_sales3[[#This Row],[Days_on_Market]]&lt;30),"High Demand","Normal")</f>
        <v>Normal</v>
      </c>
    </row>
    <row r="81" spans="1:23" x14ac:dyDescent="0.3">
      <c r="A81" s="1" t="s">
        <v>119</v>
      </c>
      <c r="B81" s="1" t="s">
        <v>32</v>
      </c>
      <c r="C81" s="1" t="s">
        <v>33</v>
      </c>
      <c r="D81">
        <v>3</v>
      </c>
      <c r="E81">
        <v>3</v>
      </c>
      <c r="F81">
        <v>739</v>
      </c>
      <c r="G81">
        <v>1571740</v>
      </c>
      <c r="H81">
        <v>1544949</v>
      </c>
      <c r="I81" s="2">
        <v>45350</v>
      </c>
      <c r="J81" s="2">
        <v>45379</v>
      </c>
      <c r="K81">
        <v>29</v>
      </c>
      <c r="L81" s="1" t="s">
        <v>53</v>
      </c>
      <c r="M81" s="1" t="s">
        <v>24</v>
      </c>
      <c r="N81">
        <v>4.4999999999999998E-2</v>
      </c>
      <c r="O81">
        <v>69522.710000000006</v>
      </c>
      <c r="P81">
        <v>-26791</v>
      </c>
      <c r="Q81" t="str">
        <f>IF(tbl_sales3[[#This Row],[Sale_Price]]&lt;500000,"Budget",
IF(tbl_sales3[[#This Row],[Sale_Price]]&lt;1000000,"Mid-Range",
"Luxury"))</f>
        <v>Luxury</v>
      </c>
      <c r="R81" s="4">
        <f>IFERROR(tbl_sales3[[#This Row],[Sale_Price]]*tbl_sales3[[#This Row],[Commission_Rate]],0)</f>
        <v>69522.705000000002</v>
      </c>
      <c r="S81" t="str">
        <f>IF(ABS(tbl_sales3[[#This Row],[Commission_Earned]]-tbl_sales3[[#This Row],[Calculated_Commission]])&lt;0.02,"Correct","Mismatch")</f>
        <v>Correct</v>
      </c>
      <c r="T81">
        <f>YEAR(tbl_sales3[[#This Row],[Sale_Date]])</f>
        <v>2024</v>
      </c>
      <c r="U81" s="1" t="str">
        <f>TEXT(tbl_sales3[[#This Row],[Sale_Date]],"mmmm")</f>
        <v>March</v>
      </c>
      <c r="V81" s="2">
        <f>EOMONTH(tbl_sales3[[#This Row],[Sale_Date]],0)</f>
        <v>45382</v>
      </c>
      <c r="W81" s="1" t="str">
        <f>IF(AND(tbl_sales3[[#This Row],[Sale_Price]]&gt;1000000,tbl_sales3[[#This Row],[Days_on_Market]]&lt;30),"High Demand","Normal")</f>
        <v>High Demand</v>
      </c>
    </row>
    <row r="82" spans="1:23" x14ac:dyDescent="0.3">
      <c r="A82" s="1" t="s">
        <v>120</v>
      </c>
      <c r="B82" s="1" t="s">
        <v>48</v>
      </c>
      <c r="C82" s="1" t="s">
        <v>18</v>
      </c>
      <c r="D82">
        <v>3</v>
      </c>
      <c r="E82">
        <v>1</v>
      </c>
      <c r="F82">
        <v>832</v>
      </c>
      <c r="G82">
        <v>1226974</v>
      </c>
      <c r="H82">
        <v>1200654</v>
      </c>
      <c r="I82" s="2">
        <v>45538</v>
      </c>
      <c r="J82" s="2">
        <v>45546</v>
      </c>
      <c r="K82">
        <v>8</v>
      </c>
      <c r="L82" s="1" t="s">
        <v>30</v>
      </c>
      <c r="M82" s="1" t="s">
        <v>28</v>
      </c>
      <c r="N82">
        <v>4.4999999999999998E-2</v>
      </c>
      <c r="O82">
        <v>54029.43</v>
      </c>
      <c r="P82">
        <v>-26320</v>
      </c>
      <c r="Q82" t="str">
        <f>IF(tbl_sales3[[#This Row],[Sale_Price]]&lt;500000,"Budget",
IF(tbl_sales3[[#This Row],[Sale_Price]]&lt;1000000,"Mid-Range",
"Luxury"))</f>
        <v>Luxury</v>
      </c>
      <c r="R82" s="4">
        <f>IFERROR(tbl_sales3[[#This Row],[Sale_Price]]*tbl_sales3[[#This Row],[Commission_Rate]],0)</f>
        <v>54029.43</v>
      </c>
      <c r="S82" t="str">
        <f>IF(ABS(tbl_sales3[[#This Row],[Commission_Earned]]-tbl_sales3[[#This Row],[Calculated_Commission]])&lt;0.02,"Correct","Mismatch")</f>
        <v>Correct</v>
      </c>
      <c r="T82">
        <f>YEAR(tbl_sales3[[#This Row],[Sale_Date]])</f>
        <v>2024</v>
      </c>
      <c r="U82" s="1" t="str">
        <f>TEXT(tbl_sales3[[#This Row],[Sale_Date]],"mmmm")</f>
        <v>September</v>
      </c>
      <c r="V82" s="2">
        <f>EOMONTH(tbl_sales3[[#This Row],[Sale_Date]],0)</f>
        <v>45565</v>
      </c>
      <c r="W82" s="1" t="str">
        <f>IF(AND(tbl_sales3[[#This Row],[Sale_Price]]&gt;1000000,tbl_sales3[[#This Row],[Days_on_Market]]&lt;30),"High Demand","Normal")</f>
        <v>High Demand</v>
      </c>
    </row>
    <row r="83" spans="1:23" x14ac:dyDescent="0.3">
      <c r="A83" s="1" t="s">
        <v>121</v>
      </c>
      <c r="B83" s="1" t="s">
        <v>32</v>
      </c>
      <c r="C83" s="1" t="s">
        <v>33</v>
      </c>
      <c r="D83">
        <v>3</v>
      </c>
      <c r="E83">
        <v>4</v>
      </c>
      <c r="F83">
        <v>1738</v>
      </c>
      <c r="G83">
        <v>1776462</v>
      </c>
      <c r="H83">
        <v>1750686</v>
      </c>
      <c r="I83" s="2">
        <v>45254</v>
      </c>
      <c r="J83" s="2">
        <v>45303</v>
      </c>
      <c r="K83">
        <v>49</v>
      </c>
      <c r="L83" s="1" t="s">
        <v>39</v>
      </c>
      <c r="M83" s="1" t="s">
        <v>28</v>
      </c>
      <c r="N83">
        <v>4.4999999999999998E-2</v>
      </c>
      <c r="O83">
        <v>78780.87</v>
      </c>
      <c r="P83">
        <v>-25776</v>
      </c>
      <c r="Q83" t="str">
        <f>IF(tbl_sales3[[#This Row],[Sale_Price]]&lt;500000,"Budget",
IF(tbl_sales3[[#This Row],[Sale_Price]]&lt;1000000,"Mid-Range",
"Luxury"))</f>
        <v>Luxury</v>
      </c>
      <c r="R83" s="4">
        <f>IFERROR(tbl_sales3[[#This Row],[Sale_Price]]*tbl_sales3[[#This Row],[Commission_Rate]],0)</f>
        <v>78780.87</v>
      </c>
      <c r="S83" t="str">
        <f>IF(ABS(tbl_sales3[[#This Row],[Commission_Earned]]-tbl_sales3[[#This Row],[Calculated_Commission]])&lt;0.02,"Correct","Mismatch")</f>
        <v>Correct</v>
      </c>
      <c r="T83">
        <f>YEAR(tbl_sales3[[#This Row],[Sale_Date]])</f>
        <v>2024</v>
      </c>
      <c r="U83" s="1" t="str">
        <f>TEXT(tbl_sales3[[#This Row],[Sale_Date]],"mmmm")</f>
        <v>January</v>
      </c>
      <c r="V83" s="2">
        <f>EOMONTH(tbl_sales3[[#This Row],[Sale_Date]],0)</f>
        <v>45322</v>
      </c>
      <c r="W83" s="1" t="str">
        <f>IF(AND(tbl_sales3[[#This Row],[Sale_Price]]&gt;1000000,tbl_sales3[[#This Row],[Days_on_Market]]&lt;30),"High Demand","Normal")</f>
        <v>Normal</v>
      </c>
    </row>
    <row r="84" spans="1:23" x14ac:dyDescent="0.3">
      <c r="A84" s="1" t="s">
        <v>122</v>
      </c>
      <c r="B84" s="1" t="s">
        <v>22</v>
      </c>
      <c r="C84" s="1" t="s">
        <v>38</v>
      </c>
      <c r="D84">
        <v>5</v>
      </c>
      <c r="E84">
        <v>2</v>
      </c>
      <c r="F84">
        <v>998</v>
      </c>
      <c r="G84">
        <v>949118</v>
      </c>
      <c r="H84">
        <v>928562</v>
      </c>
      <c r="I84" s="2">
        <v>45052</v>
      </c>
      <c r="J84" s="2">
        <v>45113</v>
      </c>
      <c r="K84">
        <v>61</v>
      </c>
      <c r="L84" s="1" t="s">
        <v>27</v>
      </c>
      <c r="M84" s="1" t="s">
        <v>20</v>
      </c>
      <c r="N84">
        <v>4.4999999999999998E-2</v>
      </c>
      <c r="O84">
        <v>41785.29</v>
      </c>
      <c r="P84">
        <v>-20556</v>
      </c>
      <c r="Q84" t="str">
        <f>IF(tbl_sales3[[#This Row],[Sale_Price]]&lt;500000,"Budget",
IF(tbl_sales3[[#This Row],[Sale_Price]]&lt;1000000,"Mid-Range",
"Luxury"))</f>
        <v>Mid-Range</v>
      </c>
      <c r="R84" s="4">
        <f>IFERROR(tbl_sales3[[#This Row],[Sale_Price]]*tbl_sales3[[#This Row],[Commission_Rate]],0)</f>
        <v>41785.29</v>
      </c>
      <c r="S84" t="str">
        <f>IF(ABS(tbl_sales3[[#This Row],[Commission_Earned]]-tbl_sales3[[#This Row],[Calculated_Commission]])&lt;0.02,"Correct","Mismatch")</f>
        <v>Correct</v>
      </c>
      <c r="T84">
        <f>YEAR(tbl_sales3[[#This Row],[Sale_Date]])</f>
        <v>2023</v>
      </c>
      <c r="U84" s="1" t="str">
        <f>TEXT(tbl_sales3[[#This Row],[Sale_Date]],"mmmm")</f>
        <v>July</v>
      </c>
      <c r="V84" s="2">
        <f>EOMONTH(tbl_sales3[[#This Row],[Sale_Date]],0)</f>
        <v>45138</v>
      </c>
      <c r="W84" s="1" t="str">
        <f>IF(AND(tbl_sales3[[#This Row],[Sale_Price]]&gt;1000000,tbl_sales3[[#This Row],[Days_on_Market]]&lt;30),"High Demand","Normal")</f>
        <v>Normal</v>
      </c>
    </row>
    <row r="85" spans="1:23" x14ac:dyDescent="0.3">
      <c r="A85" s="1" t="s">
        <v>123</v>
      </c>
      <c r="B85" s="1" t="s">
        <v>17</v>
      </c>
      <c r="C85" s="1" t="s">
        <v>18</v>
      </c>
      <c r="D85">
        <v>4</v>
      </c>
      <c r="E85">
        <v>1</v>
      </c>
      <c r="F85">
        <v>3263</v>
      </c>
      <c r="G85">
        <v>1164997</v>
      </c>
      <c r="H85">
        <v>1119340</v>
      </c>
      <c r="I85" s="2">
        <v>45609</v>
      </c>
      <c r="J85" s="2">
        <v>45654</v>
      </c>
      <c r="K85">
        <v>45</v>
      </c>
      <c r="L85" s="1" t="s">
        <v>39</v>
      </c>
      <c r="M85" s="1" t="s">
        <v>24</v>
      </c>
      <c r="N85">
        <v>0.05</v>
      </c>
      <c r="O85">
        <v>55967</v>
      </c>
      <c r="P85">
        <v>-45657</v>
      </c>
      <c r="Q85" t="str">
        <f>IF(tbl_sales3[[#This Row],[Sale_Price]]&lt;500000,"Budget",
IF(tbl_sales3[[#This Row],[Sale_Price]]&lt;1000000,"Mid-Range",
"Luxury"))</f>
        <v>Luxury</v>
      </c>
      <c r="R85" s="4">
        <f>IFERROR(tbl_sales3[[#This Row],[Sale_Price]]*tbl_sales3[[#This Row],[Commission_Rate]],0)</f>
        <v>55967</v>
      </c>
      <c r="S85" t="str">
        <f>IF(ABS(tbl_sales3[[#This Row],[Commission_Earned]]-tbl_sales3[[#This Row],[Calculated_Commission]])&lt;0.02,"Correct","Mismatch")</f>
        <v>Correct</v>
      </c>
      <c r="T85">
        <f>YEAR(tbl_sales3[[#This Row],[Sale_Date]])</f>
        <v>2024</v>
      </c>
      <c r="U85" s="1" t="str">
        <f>TEXT(tbl_sales3[[#This Row],[Sale_Date]],"mmmm")</f>
        <v>December</v>
      </c>
      <c r="V85" s="2">
        <f>EOMONTH(tbl_sales3[[#This Row],[Sale_Date]],0)</f>
        <v>45657</v>
      </c>
      <c r="W85" s="1" t="str">
        <f>IF(AND(tbl_sales3[[#This Row],[Sale_Price]]&gt;1000000,tbl_sales3[[#This Row],[Days_on_Market]]&lt;30),"High Demand","Normal")</f>
        <v>Normal</v>
      </c>
    </row>
    <row r="86" spans="1:23" x14ac:dyDescent="0.3">
      <c r="A86" s="1" t="s">
        <v>124</v>
      </c>
      <c r="B86" s="1" t="s">
        <v>59</v>
      </c>
      <c r="C86" s="1" t="s">
        <v>33</v>
      </c>
      <c r="D86">
        <v>1</v>
      </c>
      <c r="E86">
        <v>3</v>
      </c>
      <c r="F86">
        <v>758</v>
      </c>
      <c r="G86">
        <v>412344</v>
      </c>
      <c r="H86">
        <v>335351</v>
      </c>
      <c r="I86" s="2">
        <v>45133</v>
      </c>
      <c r="J86" s="2">
        <v>45178</v>
      </c>
      <c r="K86">
        <v>45</v>
      </c>
      <c r="L86" s="1" t="s">
        <v>30</v>
      </c>
      <c r="M86" s="1" t="s">
        <v>28</v>
      </c>
      <c r="N86">
        <v>4.4999999999999998E-2</v>
      </c>
      <c r="O86">
        <v>15090.8</v>
      </c>
      <c r="P86">
        <v>-76993</v>
      </c>
      <c r="Q86" t="str">
        <f>IF(tbl_sales3[[#This Row],[Sale_Price]]&lt;500000,"Budget",
IF(tbl_sales3[[#This Row],[Sale_Price]]&lt;1000000,"Mid-Range",
"Luxury"))</f>
        <v>Budget</v>
      </c>
      <c r="R86" s="4">
        <f>IFERROR(tbl_sales3[[#This Row],[Sale_Price]]*tbl_sales3[[#This Row],[Commission_Rate]],0)</f>
        <v>15090.795</v>
      </c>
      <c r="S86" t="str">
        <f>IF(ABS(tbl_sales3[[#This Row],[Commission_Earned]]-tbl_sales3[[#This Row],[Calculated_Commission]])&lt;0.02,"Correct","Mismatch")</f>
        <v>Correct</v>
      </c>
      <c r="T86">
        <f>YEAR(tbl_sales3[[#This Row],[Sale_Date]])</f>
        <v>2023</v>
      </c>
      <c r="U86" s="1" t="str">
        <f>TEXT(tbl_sales3[[#This Row],[Sale_Date]],"mmmm")</f>
        <v>September</v>
      </c>
      <c r="V86" s="2">
        <f>EOMONTH(tbl_sales3[[#This Row],[Sale_Date]],0)</f>
        <v>45199</v>
      </c>
      <c r="W86" s="1" t="str">
        <f>IF(AND(tbl_sales3[[#This Row],[Sale_Price]]&gt;1000000,tbl_sales3[[#This Row],[Days_on_Market]]&lt;30),"High Demand","Normal")</f>
        <v>Normal</v>
      </c>
    </row>
    <row r="87" spans="1:23" x14ac:dyDescent="0.3">
      <c r="A87" s="1" t="s">
        <v>125</v>
      </c>
      <c r="B87" s="1" t="s">
        <v>22</v>
      </c>
      <c r="C87" s="1" t="s">
        <v>18</v>
      </c>
      <c r="D87">
        <v>2</v>
      </c>
      <c r="E87">
        <v>3</v>
      </c>
      <c r="F87">
        <v>1552</v>
      </c>
      <c r="G87">
        <v>1176801</v>
      </c>
      <c r="H87">
        <v>1118056</v>
      </c>
      <c r="I87" s="2">
        <v>44987</v>
      </c>
      <c r="J87" s="2">
        <v>44999</v>
      </c>
      <c r="K87">
        <v>12</v>
      </c>
      <c r="L87" s="1" t="s">
        <v>27</v>
      </c>
      <c r="M87" s="1" t="s">
        <v>28</v>
      </c>
      <c r="N87">
        <v>0.05</v>
      </c>
      <c r="O87">
        <v>55902.8</v>
      </c>
      <c r="P87">
        <v>-58745</v>
      </c>
      <c r="Q87" t="str">
        <f>IF(tbl_sales3[[#This Row],[Sale_Price]]&lt;500000,"Budget",
IF(tbl_sales3[[#This Row],[Sale_Price]]&lt;1000000,"Mid-Range",
"Luxury"))</f>
        <v>Luxury</v>
      </c>
      <c r="R87" s="4">
        <f>IFERROR(tbl_sales3[[#This Row],[Sale_Price]]*tbl_sales3[[#This Row],[Commission_Rate]],0)</f>
        <v>55902.8</v>
      </c>
      <c r="S87" t="str">
        <f>IF(ABS(tbl_sales3[[#This Row],[Commission_Earned]]-tbl_sales3[[#This Row],[Calculated_Commission]])&lt;0.02,"Correct","Mismatch")</f>
        <v>Correct</v>
      </c>
      <c r="T87">
        <f>YEAR(tbl_sales3[[#This Row],[Sale_Date]])</f>
        <v>2023</v>
      </c>
      <c r="U87" s="1" t="str">
        <f>TEXT(tbl_sales3[[#This Row],[Sale_Date]],"mmmm")</f>
        <v>March</v>
      </c>
      <c r="V87" s="2">
        <f>EOMONTH(tbl_sales3[[#This Row],[Sale_Date]],0)</f>
        <v>45016</v>
      </c>
      <c r="W87" s="1" t="str">
        <f>IF(AND(tbl_sales3[[#This Row],[Sale_Price]]&gt;1000000,tbl_sales3[[#This Row],[Days_on_Market]]&lt;30),"High Demand","Normal")</f>
        <v>High Demand</v>
      </c>
    </row>
    <row r="88" spans="1:23" x14ac:dyDescent="0.3">
      <c r="A88" s="1" t="s">
        <v>126</v>
      </c>
      <c r="B88" s="1" t="s">
        <v>26</v>
      </c>
      <c r="C88" s="1" t="s">
        <v>35</v>
      </c>
      <c r="D88">
        <v>3</v>
      </c>
      <c r="E88">
        <v>4</v>
      </c>
      <c r="F88">
        <v>1159</v>
      </c>
      <c r="G88">
        <v>1049884</v>
      </c>
      <c r="H88">
        <v>1024074</v>
      </c>
      <c r="I88" s="2">
        <v>44935</v>
      </c>
      <c r="J88" s="2">
        <v>45001</v>
      </c>
      <c r="K88">
        <v>66</v>
      </c>
      <c r="L88" s="1" t="s">
        <v>39</v>
      </c>
      <c r="M88" s="1" t="s">
        <v>28</v>
      </c>
      <c r="N88">
        <v>0.05</v>
      </c>
      <c r="O88">
        <v>51203.7</v>
      </c>
      <c r="P88">
        <v>-25810</v>
      </c>
      <c r="Q88" t="str">
        <f>IF(tbl_sales3[[#This Row],[Sale_Price]]&lt;500000,"Budget",
IF(tbl_sales3[[#This Row],[Sale_Price]]&lt;1000000,"Mid-Range",
"Luxury"))</f>
        <v>Luxury</v>
      </c>
      <c r="R88" s="4">
        <f>IFERROR(tbl_sales3[[#This Row],[Sale_Price]]*tbl_sales3[[#This Row],[Commission_Rate]],0)</f>
        <v>51203.700000000004</v>
      </c>
      <c r="S88" t="str">
        <f>IF(ABS(tbl_sales3[[#This Row],[Commission_Earned]]-tbl_sales3[[#This Row],[Calculated_Commission]])&lt;0.02,"Correct","Mismatch")</f>
        <v>Correct</v>
      </c>
      <c r="T88">
        <f>YEAR(tbl_sales3[[#This Row],[Sale_Date]])</f>
        <v>2023</v>
      </c>
      <c r="U88" s="1" t="str">
        <f>TEXT(tbl_sales3[[#This Row],[Sale_Date]],"mmmm")</f>
        <v>March</v>
      </c>
      <c r="V88" s="2">
        <f>EOMONTH(tbl_sales3[[#This Row],[Sale_Date]],0)</f>
        <v>45016</v>
      </c>
      <c r="W88" s="1" t="str">
        <f>IF(AND(tbl_sales3[[#This Row],[Sale_Price]]&gt;1000000,tbl_sales3[[#This Row],[Days_on_Market]]&lt;30),"High Demand","Normal")</f>
        <v>Normal</v>
      </c>
    </row>
    <row r="89" spans="1:23" x14ac:dyDescent="0.3">
      <c r="A89" s="1" t="s">
        <v>127</v>
      </c>
      <c r="B89" s="1" t="s">
        <v>59</v>
      </c>
      <c r="C89" s="1" t="s">
        <v>35</v>
      </c>
      <c r="D89">
        <v>4</v>
      </c>
      <c r="E89">
        <v>3</v>
      </c>
      <c r="F89">
        <v>1472</v>
      </c>
      <c r="G89">
        <v>1290284</v>
      </c>
      <c r="H89">
        <v>1223395</v>
      </c>
      <c r="I89" s="2">
        <v>45213</v>
      </c>
      <c r="J89" s="2">
        <v>45295</v>
      </c>
      <c r="K89">
        <v>82</v>
      </c>
      <c r="L89" s="1" t="s">
        <v>19</v>
      </c>
      <c r="M89" s="1" t="s">
        <v>28</v>
      </c>
      <c r="N89">
        <v>4.4999999999999998E-2</v>
      </c>
      <c r="O89">
        <v>55052.78</v>
      </c>
      <c r="P89">
        <v>-66889</v>
      </c>
      <c r="Q89" t="str">
        <f>IF(tbl_sales3[[#This Row],[Sale_Price]]&lt;500000,"Budget",
IF(tbl_sales3[[#This Row],[Sale_Price]]&lt;1000000,"Mid-Range",
"Luxury"))</f>
        <v>Luxury</v>
      </c>
      <c r="R89" s="4">
        <f>IFERROR(tbl_sales3[[#This Row],[Sale_Price]]*tbl_sales3[[#This Row],[Commission_Rate]],0)</f>
        <v>55052.775000000001</v>
      </c>
      <c r="S89" t="str">
        <f>IF(ABS(tbl_sales3[[#This Row],[Commission_Earned]]-tbl_sales3[[#This Row],[Calculated_Commission]])&lt;0.02,"Correct","Mismatch")</f>
        <v>Correct</v>
      </c>
      <c r="T89">
        <f>YEAR(tbl_sales3[[#This Row],[Sale_Date]])</f>
        <v>2024</v>
      </c>
      <c r="U89" s="1" t="str">
        <f>TEXT(tbl_sales3[[#This Row],[Sale_Date]],"mmmm")</f>
        <v>January</v>
      </c>
      <c r="V89" s="2">
        <f>EOMONTH(tbl_sales3[[#This Row],[Sale_Date]],0)</f>
        <v>45322</v>
      </c>
      <c r="W89" s="1" t="str">
        <f>IF(AND(tbl_sales3[[#This Row],[Sale_Price]]&gt;1000000,tbl_sales3[[#This Row],[Days_on_Market]]&lt;30),"High Demand","Normal")</f>
        <v>Normal</v>
      </c>
    </row>
    <row r="90" spans="1:23" x14ac:dyDescent="0.3">
      <c r="A90" s="1" t="s">
        <v>128</v>
      </c>
      <c r="B90" s="1" t="s">
        <v>41</v>
      </c>
      <c r="C90" s="1" t="s">
        <v>35</v>
      </c>
      <c r="D90">
        <v>4</v>
      </c>
      <c r="E90">
        <v>3</v>
      </c>
      <c r="F90">
        <v>3067</v>
      </c>
      <c r="G90">
        <v>624183</v>
      </c>
      <c r="H90">
        <v>607004</v>
      </c>
      <c r="I90" s="2">
        <v>45061</v>
      </c>
      <c r="J90" s="2">
        <v>45091</v>
      </c>
      <c r="K90">
        <v>30</v>
      </c>
      <c r="L90" s="1" t="s">
        <v>51</v>
      </c>
      <c r="M90" s="1" t="s">
        <v>24</v>
      </c>
      <c r="N90">
        <v>4.4999999999999998E-2</v>
      </c>
      <c r="O90">
        <v>27315.18</v>
      </c>
      <c r="P90">
        <v>-17179</v>
      </c>
      <c r="Q90" t="str">
        <f>IF(tbl_sales3[[#This Row],[Sale_Price]]&lt;500000,"Budget",
IF(tbl_sales3[[#This Row],[Sale_Price]]&lt;1000000,"Mid-Range",
"Luxury"))</f>
        <v>Mid-Range</v>
      </c>
      <c r="R90" s="4">
        <f>IFERROR(tbl_sales3[[#This Row],[Sale_Price]]*tbl_sales3[[#This Row],[Commission_Rate]],0)</f>
        <v>27315.18</v>
      </c>
      <c r="S90" t="str">
        <f>IF(ABS(tbl_sales3[[#This Row],[Commission_Earned]]-tbl_sales3[[#This Row],[Calculated_Commission]])&lt;0.02,"Correct","Mismatch")</f>
        <v>Correct</v>
      </c>
      <c r="T90">
        <f>YEAR(tbl_sales3[[#This Row],[Sale_Date]])</f>
        <v>2023</v>
      </c>
      <c r="U90" s="1" t="str">
        <f>TEXT(tbl_sales3[[#This Row],[Sale_Date]],"mmmm")</f>
        <v>June</v>
      </c>
      <c r="V90" s="2">
        <f>EOMONTH(tbl_sales3[[#This Row],[Sale_Date]],0)</f>
        <v>45107</v>
      </c>
      <c r="W90" s="1" t="str">
        <f>IF(AND(tbl_sales3[[#This Row],[Sale_Price]]&gt;1000000,tbl_sales3[[#This Row],[Days_on_Market]]&lt;30),"High Demand","Normal")</f>
        <v>Normal</v>
      </c>
    </row>
    <row r="91" spans="1:23" x14ac:dyDescent="0.3">
      <c r="A91" s="1" t="s">
        <v>129</v>
      </c>
      <c r="B91" s="1" t="s">
        <v>37</v>
      </c>
      <c r="C91" s="1" t="s">
        <v>18</v>
      </c>
      <c r="D91">
        <v>3</v>
      </c>
      <c r="E91">
        <v>2</v>
      </c>
      <c r="F91">
        <v>3403</v>
      </c>
      <c r="G91">
        <v>1226820</v>
      </c>
      <c r="H91">
        <v>1198725</v>
      </c>
      <c r="I91" s="2">
        <v>45552</v>
      </c>
      <c r="J91" s="2">
        <v>45626</v>
      </c>
      <c r="K91">
        <v>74</v>
      </c>
      <c r="L91" s="1" t="s">
        <v>19</v>
      </c>
      <c r="M91" s="1" t="s">
        <v>28</v>
      </c>
      <c r="N91">
        <v>4.4999999999999998E-2</v>
      </c>
      <c r="O91">
        <v>53942.62</v>
      </c>
      <c r="P91">
        <v>-28095</v>
      </c>
      <c r="Q91" t="str">
        <f>IF(tbl_sales3[[#This Row],[Sale_Price]]&lt;500000,"Budget",
IF(tbl_sales3[[#This Row],[Sale_Price]]&lt;1000000,"Mid-Range",
"Luxury"))</f>
        <v>Luxury</v>
      </c>
      <c r="R91" s="4">
        <f>IFERROR(tbl_sales3[[#This Row],[Sale_Price]]*tbl_sales3[[#This Row],[Commission_Rate]],0)</f>
        <v>53942.625</v>
      </c>
      <c r="S91" t="str">
        <f>IF(ABS(tbl_sales3[[#This Row],[Commission_Earned]]-tbl_sales3[[#This Row],[Calculated_Commission]])&lt;0.02,"Correct","Mismatch")</f>
        <v>Correct</v>
      </c>
      <c r="T91">
        <f>YEAR(tbl_sales3[[#This Row],[Sale_Date]])</f>
        <v>2024</v>
      </c>
      <c r="U91" s="1" t="str">
        <f>TEXT(tbl_sales3[[#This Row],[Sale_Date]],"mmmm")</f>
        <v>November</v>
      </c>
      <c r="V91" s="2">
        <f>EOMONTH(tbl_sales3[[#This Row],[Sale_Date]],0)</f>
        <v>45626</v>
      </c>
      <c r="W91" s="1" t="str">
        <f>IF(AND(tbl_sales3[[#This Row],[Sale_Price]]&gt;1000000,tbl_sales3[[#This Row],[Days_on_Market]]&lt;30),"High Demand","Normal")</f>
        <v>Normal</v>
      </c>
    </row>
    <row r="92" spans="1:23" x14ac:dyDescent="0.3">
      <c r="A92" s="1" t="s">
        <v>130</v>
      </c>
      <c r="B92" s="1" t="s">
        <v>48</v>
      </c>
      <c r="C92" s="1" t="s">
        <v>18</v>
      </c>
      <c r="D92">
        <v>3</v>
      </c>
      <c r="E92">
        <v>3</v>
      </c>
      <c r="F92">
        <v>2184</v>
      </c>
      <c r="G92">
        <v>1286620</v>
      </c>
      <c r="H92">
        <v>1234803</v>
      </c>
      <c r="I92" s="2">
        <v>45379</v>
      </c>
      <c r="J92" s="2">
        <v>45433</v>
      </c>
      <c r="K92">
        <v>54</v>
      </c>
      <c r="L92" s="1" t="s">
        <v>30</v>
      </c>
      <c r="M92" s="1" t="s">
        <v>28</v>
      </c>
      <c r="N92">
        <v>0.04</v>
      </c>
      <c r="O92">
        <v>49392.12</v>
      </c>
      <c r="P92">
        <v>-51817</v>
      </c>
      <c r="Q92" t="str">
        <f>IF(tbl_sales3[[#This Row],[Sale_Price]]&lt;500000,"Budget",
IF(tbl_sales3[[#This Row],[Sale_Price]]&lt;1000000,"Mid-Range",
"Luxury"))</f>
        <v>Luxury</v>
      </c>
      <c r="R92" s="4">
        <f>IFERROR(tbl_sales3[[#This Row],[Sale_Price]]*tbl_sales3[[#This Row],[Commission_Rate]],0)</f>
        <v>49392.12</v>
      </c>
      <c r="S92" t="str">
        <f>IF(ABS(tbl_sales3[[#This Row],[Commission_Earned]]-tbl_sales3[[#This Row],[Calculated_Commission]])&lt;0.02,"Correct","Mismatch")</f>
        <v>Correct</v>
      </c>
      <c r="T92">
        <f>YEAR(tbl_sales3[[#This Row],[Sale_Date]])</f>
        <v>2024</v>
      </c>
      <c r="U92" s="1" t="str">
        <f>TEXT(tbl_sales3[[#This Row],[Sale_Date]],"mmmm")</f>
        <v>May</v>
      </c>
      <c r="V92" s="2">
        <f>EOMONTH(tbl_sales3[[#This Row],[Sale_Date]],0)</f>
        <v>45443</v>
      </c>
      <c r="W92" s="1" t="str">
        <f>IF(AND(tbl_sales3[[#This Row],[Sale_Price]]&gt;1000000,tbl_sales3[[#This Row],[Days_on_Market]]&lt;30),"High Demand","Normal")</f>
        <v>Normal</v>
      </c>
    </row>
    <row r="93" spans="1:23" x14ac:dyDescent="0.3">
      <c r="A93" s="1" t="s">
        <v>131</v>
      </c>
      <c r="B93" s="1" t="s">
        <v>41</v>
      </c>
      <c r="C93" s="1" t="s">
        <v>23</v>
      </c>
      <c r="D93">
        <v>2</v>
      </c>
      <c r="E93">
        <v>4</v>
      </c>
      <c r="F93">
        <v>2784</v>
      </c>
      <c r="G93">
        <v>1089075</v>
      </c>
      <c r="H93">
        <v>1010019</v>
      </c>
      <c r="I93" s="2">
        <v>45530</v>
      </c>
      <c r="J93" s="2">
        <v>45567</v>
      </c>
      <c r="K93">
        <v>37</v>
      </c>
      <c r="L93" s="1" t="s">
        <v>39</v>
      </c>
      <c r="M93" s="1" t="s">
        <v>20</v>
      </c>
      <c r="N93">
        <v>0.04</v>
      </c>
      <c r="O93">
        <v>40400.76</v>
      </c>
      <c r="P93">
        <v>-79056</v>
      </c>
      <c r="Q93" t="str">
        <f>IF(tbl_sales3[[#This Row],[Sale_Price]]&lt;500000,"Budget",
IF(tbl_sales3[[#This Row],[Sale_Price]]&lt;1000000,"Mid-Range",
"Luxury"))</f>
        <v>Luxury</v>
      </c>
      <c r="R93" s="4">
        <f>IFERROR(tbl_sales3[[#This Row],[Sale_Price]]*tbl_sales3[[#This Row],[Commission_Rate]],0)</f>
        <v>40400.76</v>
      </c>
      <c r="S93" t="str">
        <f>IF(ABS(tbl_sales3[[#This Row],[Commission_Earned]]-tbl_sales3[[#This Row],[Calculated_Commission]])&lt;0.02,"Correct","Mismatch")</f>
        <v>Correct</v>
      </c>
      <c r="T93">
        <f>YEAR(tbl_sales3[[#This Row],[Sale_Date]])</f>
        <v>2024</v>
      </c>
      <c r="U93" s="1" t="str">
        <f>TEXT(tbl_sales3[[#This Row],[Sale_Date]],"mmmm")</f>
        <v>October</v>
      </c>
      <c r="V93" s="2">
        <f>EOMONTH(tbl_sales3[[#This Row],[Sale_Date]],0)</f>
        <v>45596</v>
      </c>
      <c r="W93" s="1" t="str">
        <f>IF(AND(tbl_sales3[[#This Row],[Sale_Price]]&gt;1000000,tbl_sales3[[#This Row],[Days_on_Market]]&lt;30),"High Demand","Normal")</f>
        <v>Normal</v>
      </c>
    </row>
    <row r="94" spans="1:23" x14ac:dyDescent="0.3">
      <c r="A94" s="1" t="s">
        <v>132</v>
      </c>
      <c r="B94" s="1" t="s">
        <v>59</v>
      </c>
      <c r="C94" s="1" t="s">
        <v>18</v>
      </c>
      <c r="D94">
        <v>1</v>
      </c>
      <c r="E94">
        <v>2</v>
      </c>
      <c r="F94">
        <v>1848</v>
      </c>
      <c r="G94">
        <v>556971</v>
      </c>
      <c r="H94">
        <v>484212</v>
      </c>
      <c r="I94" s="2">
        <v>45115</v>
      </c>
      <c r="J94" s="2">
        <v>45162</v>
      </c>
      <c r="K94">
        <v>47</v>
      </c>
      <c r="L94" s="1" t="s">
        <v>30</v>
      </c>
      <c r="M94" s="1" t="s">
        <v>28</v>
      </c>
      <c r="N94">
        <v>0.05</v>
      </c>
      <c r="O94">
        <v>24210.6</v>
      </c>
      <c r="P94">
        <v>-72759</v>
      </c>
      <c r="Q94" t="str">
        <f>IF(tbl_sales3[[#This Row],[Sale_Price]]&lt;500000,"Budget",
IF(tbl_sales3[[#This Row],[Sale_Price]]&lt;1000000,"Mid-Range",
"Luxury"))</f>
        <v>Budget</v>
      </c>
      <c r="R94" s="4">
        <f>IFERROR(tbl_sales3[[#This Row],[Sale_Price]]*tbl_sales3[[#This Row],[Commission_Rate]],0)</f>
        <v>24210.600000000002</v>
      </c>
      <c r="S94" t="str">
        <f>IF(ABS(tbl_sales3[[#This Row],[Commission_Earned]]-tbl_sales3[[#This Row],[Calculated_Commission]])&lt;0.02,"Correct","Mismatch")</f>
        <v>Correct</v>
      </c>
      <c r="T94">
        <f>YEAR(tbl_sales3[[#This Row],[Sale_Date]])</f>
        <v>2023</v>
      </c>
      <c r="U94" s="1" t="str">
        <f>TEXT(tbl_sales3[[#This Row],[Sale_Date]],"mmmm")</f>
        <v>August</v>
      </c>
      <c r="V94" s="2">
        <f>EOMONTH(tbl_sales3[[#This Row],[Sale_Date]],0)</f>
        <v>45169</v>
      </c>
      <c r="W94" s="1" t="str">
        <f>IF(AND(tbl_sales3[[#This Row],[Sale_Price]]&gt;1000000,tbl_sales3[[#This Row],[Days_on_Market]]&lt;30),"High Demand","Normal")</f>
        <v>Normal</v>
      </c>
    </row>
    <row r="95" spans="1:23" x14ac:dyDescent="0.3">
      <c r="A95" s="1" t="s">
        <v>133</v>
      </c>
      <c r="B95" s="1" t="s">
        <v>22</v>
      </c>
      <c r="C95" s="1" t="s">
        <v>18</v>
      </c>
      <c r="D95">
        <v>4</v>
      </c>
      <c r="E95">
        <v>1</v>
      </c>
      <c r="F95">
        <v>902</v>
      </c>
      <c r="G95">
        <v>961038</v>
      </c>
      <c r="H95">
        <v>946082</v>
      </c>
      <c r="I95" s="2">
        <v>45388</v>
      </c>
      <c r="J95" s="2">
        <v>45444</v>
      </c>
      <c r="K95">
        <v>56</v>
      </c>
      <c r="L95" s="1" t="s">
        <v>30</v>
      </c>
      <c r="M95" s="1" t="s">
        <v>20</v>
      </c>
      <c r="N95">
        <v>0.05</v>
      </c>
      <c r="O95">
        <v>47304.1</v>
      </c>
      <c r="P95">
        <v>-14956</v>
      </c>
      <c r="Q95" t="str">
        <f>IF(tbl_sales3[[#This Row],[Sale_Price]]&lt;500000,"Budget",
IF(tbl_sales3[[#This Row],[Sale_Price]]&lt;1000000,"Mid-Range",
"Luxury"))</f>
        <v>Mid-Range</v>
      </c>
      <c r="R95" s="4">
        <f>IFERROR(tbl_sales3[[#This Row],[Sale_Price]]*tbl_sales3[[#This Row],[Commission_Rate]],0)</f>
        <v>47304.100000000006</v>
      </c>
      <c r="S95" t="str">
        <f>IF(ABS(tbl_sales3[[#This Row],[Commission_Earned]]-tbl_sales3[[#This Row],[Calculated_Commission]])&lt;0.02,"Correct","Mismatch")</f>
        <v>Correct</v>
      </c>
      <c r="T95">
        <f>YEAR(tbl_sales3[[#This Row],[Sale_Date]])</f>
        <v>2024</v>
      </c>
      <c r="U95" s="1" t="str">
        <f>TEXT(tbl_sales3[[#This Row],[Sale_Date]],"mmmm")</f>
        <v>June</v>
      </c>
      <c r="V95" s="2">
        <f>EOMONTH(tbl_sales3[[#This Row],[Sale_Date]],0)</f>
        <v>45473</v>
      </c>
      <c r="W95" s="1" t="str">
        <f>IF(AND(tbl_sales3[[#This Row],[Sale_Price]]&gt;1000000,tbl_sales3[[#This Row],[Days_on_Market]]&lt;30),"High Demand","Normal")</f>
        <v>Normal</v>
      </c>
    </row>
    <row r="96" spans="1:23" x14ac:dyDescent="0.3">
      <c r="A96" s="1" t="s">
        <v>134</v>
      </c>
      <c r="B96" s="1" t="s">
        <v>48</v>
      </c>
      <c r="C96" s="1" t="s">
        <v>35</v>
      </c>
      <c r="D96">
        <v>4</v>
      </c>
      <c r="E96">
        <v>4</v>
      </c>
      <c r="F96">
        <v>1550</v>
      </c>
      <c r="G96">
        <v>1162615</v>
      </c>
      <c r="H96">
        <v>1157598</v>
      </c>
      <c r="I96" s="2">
        <v>44932</v>
      </c>
      <c r="J96" s="2">
        <v>44963</v>
      </c>
      <c r="K96">
        <v>31</v>
      </c>
      <c r="L96" s="1" t="s">
        <v>51</v>
      </c>
      <c r="M96" s="1" t="s">
        <v>20</v>
      </c>
      <c r="N96">
        <v>0.04</v>
      </c>
      <c r="O96">
        <v>46303.92</v>
      </c>
      <c r="P96">
        <v>-5017</v>
      </c>
      <c r="Q96" t="str">
        <f>IF(tbl_sales3[[#This Row],[Sale_Price]]&lt;500000,"Budget",
IF(tbl_sales3[[#This Row],[Sale_Price]]&lt;1000000,"Mid-Range",
"Luxury"))</f>
        <v>Luxury</v>
      </c>
      <c r="R96" s="4">
        <f>IFERROR(tbl_sales3[[#This Row],[Sale_Price]]*tbl_sales3[[#This Row],[Commission_Rate]],0)</f>
        <v>46303.92</v>
      </c>
      <c r="S96" t="str">
        <f>IF(ABS(tbl_sales3[[#This Row],[Commission_Earned]]-tbl_sales3[[#This Row],[Calculated_Commission]])&lt;0.02,"Correct","Mismatch")</f>
        <v>Correct</v>
      </c>
      <c r="T96">
        <f>YEAR(tbl_sales3[[#This Row],[Sale_Date]])</f>
        <v>2023</v>
      </c>
      <c r="U96" s="1" t="str">
        <f>TEXT(tbl_sales3[[#This Row],[Sale_Date]],"mmmm")</f>
        <v>February</v>
      </c>
      <c r="V96" s="2">
        <f>EOMONTH(tbl_sales3[[#This Row],[Sale_Date]],0)</f>
        <v>44985</v>
      </c>
      <c r="W96" s="1" t="str">
        <f>IF(AND(tbl_sales3[[#This Row],[Sale_Price]]&gt;1000000,tbl_sales3[[#This Row],[Days_on_Market]]&lt;30),"High Demand","Normal")</f>
        <v>Normal</v>
      </c>
    </row>
    <row r="97" spans="1:23" x14ac:dyDescent="0.3">
      <c r="A97" s="1" t="s">
        <v>135</v>
      </c>
      <c r="B97" s="1" t="s">
        <v>22</v>
      </c>
      <c r="C97" s="1" t="s">
        <v>33</v>
      </c>
      <c r="D97">
        <v>5</v>
      </c>
      <c r="E97">
        <v>4</v>
      </c>
      <c r="F97">
        <v>1402</v>
      </c>
      <c r="G97">
        <v>626417</v>
      </c>
      <c r="H97">
        <v>586490</v>
      </c>
      <c r="I97" s="2">
        <v>45438</v>
      </c>
      <c r="J97" s="2">
        <v>45448</v>
      </c>
      <c r="K97">
        <v>10</v>
      </c>
      <c r="L97" s="1" t="s">
        <v>42</v>
      </c>
      <c r="M97" s="1" t="s">
        <v>28</v>
      </c>
      <c r="N97">
        <v>0.05</v>
      </c>
      <c r="O97">
        <v>29324.5</v>
      </c>
      <c r="P97">
        <v>-39927</v>
      </c>
      <c r="Q97" t="str">
        <f>IF(tbl_sales3[[#This Row],[Sale_Price]]&lt;500000,"Budget",
IF(tbl_sales3[[#This Row],[Sale_Price]]&lt;1000000,"Mid-Range",
"Luxury"))</f>
        <v>Mid-Range</v>
      </c>
      <c r="R97" s="4">
        <f>IFERROR(tbl_sales3[[#This Row],[Sale_Price]]*tbl_sales3[[#This Row],[Commission_Rate]],0)</f>
        <v>29324.5</v>
      </c>
      <c r="S97" t="str">
        <f>IF(ABS(tbl_sales3[[#This Row],[Commission_Earned]]-tbl_sales3[[#This Row],[Calculated_Commission]])&lt;0.02,"Correct","Mismatch")</f>
        <v>Correct</v>
      </c>
      <c r="T97">
        <f>YEAR(tbl_sales3[[#This Row],[Sale_Date]])</f>
        <v>2024</v>
      </c>
      <c r="U97" s="1" t="str">
        <f>TEXT(tbl_sales3[[#This Row],[Sale_Date]],"mmmm")</f>
        <v>June</v>
      </c>
      <c r="V97" s="2">
        <f>EOMONTH(tbl_sales3[[#This Row],[Sale_Date]],0)</f>
        <v>45473</v>
      </c>
      <c r="W97" s="1" t="str">
        <f>IF(AND(tbl_sales3[[#This Row],[Sale_Price]]&gt;1000000,tbl_sales3[[#This Row],[Days_on_Market]]&lt;30),"High Demand","Normal")</f>
        <v>Normal</v>
      </c>
    </row>
    <row r="98" spans="1:23" x14ac:dyDescent="0.3">
      <c r="A98" s="1" t="s">
        <v>136</v>
      </c>
      <c r="B98" s="1" t="s">
        <v>32</v>
      </c>
      <c r="C98" s="1" t="s">
        <v>35</v>
      </c>
      <c r="D98">
        <v>4</v>
      </c>
      <c r="E98">
        <v>4</v>
      </c>
      <c r="F98">
        <v>1918</v>
      </c>
      <c r="G98">
        <v>876144</v>
      </c>
      <c r="H98">
        <v>823303</v>
      </c>
      <c r="I98" s="2">
        <v>45104</v>
      </c>
      <c r="J98" s="2">
        <v>45187</v>
      </c>
      <c r="K98">
        <v>83</v>
      </c>
      <c r="L98" s="1" t="s">
        <v>19</v>
      </c>
      <c r="M98" s="1" t="s">
        <v>24</v>
      </c>
      <c r="N98">
        <v>0.05</v>
      </c>
      <c r="O98">
        <v>41165.15</v>
      </c>
      <c r="P98">
        <v>-52841</v>
      </c>
      <c r="Q98" t="str">
        <f>IF(tbl_sales3[[#This Row],[Sale_Price]]&lt;500000,"Budget",
IF(tbl_sales3[[#This Row],[Sale_Price]]&lt;1000000,"Mid-Range",
"Luxury"))</f>
        <v>Mid-Range</v>
      </c>
      <c r="R98" s="4">
        <f>IFERROR(tbl_sales3[[#This Row],[Sale_Price]]*tbl_sales3[[#This Row],[Commission_Rate]],0)</f>
        <v>41165.15</v>
      </c>
      <c r="S98" t="str">
        <f>IF(ABS(tbl_sales3[[#This Row],[Commission_Earned]]-tbl_sales3[[#This Row],[Calculated_Commission]])&lt;0.02,"Correct","Mismatch")</f>
        <v>Correct</v>
      </c>
      <c r="T98">
        <f>YEAR(tbl_sales3[[#This Row],[Sale_Date]])</f>
        <v>2023</v>
      </c>
      <c r="U98" s="1" t="str">
        <f>TEXT(tbl_sales3[[#This Row],[Sale_Date]],"mmmm")</f>
        <v>September</v>
      </c>
      <c r="V98" s="2">
        <f>EOMONTH(tbl_sales3[[#This Row],[Sale_Date]],0)</f>
        <v>45199</v>
      </c>
      <c r="W98" s="1" t="str">
        <f>IF(AND(tbl_sales3[[#This Row],[Sale_Price]]&gt;1000000,tbl_sales3[[#This Row],[Days_on_Market]]&lt;30),"High Demand","Normal")</f>
        <v>Normal</v>
      </c>
    </row>
    <row r="99" spans="1:23" x14ac:dyDescent="0.3">
      <c r="A99" s="1" t="s">
        <v>137</v>
      </c>
      <c r="B99" s="1" t="s">
        <v>22</v>
      </c>
      <c r="C99" s="1" t="s">
        <v>23</v>
      </c>
      <c r="D99">
        <v>3</v>
      </c>
      <c r="E99">
        <v>2</v>
      </c>
      <c r="F99">
        <v>2637</v>
      </c>
      <c r="G99">
        <v>1122463</v>
      </c>
      <c r="H99">
        <v>1114292</v>
      </c>
      <c r="I99" s="2">
        <v>45399</v>
      </c>
      <c r="J99" s="2">
        <v>45433</v>
      </c>
      <c r="K99">
        <v>34</v>
      </c>
      <c r="L99" s="1" t="s">
        <v>39</v>
      </c>
      <c r="M99" s="1" t="s">
        <v>28</v>
      </c>
      <c r="N99">
        <v>4.4999999999999998E-2</v>
      </c>
      <c r="O99">
        <v>50143.14</v>
      </c>
      <c r="P99">
        <v>-8171</v>
      </c>
      <c r="Q99" t="str">
        <f>IF(tbl_sales3[[#This Row],[Sale_Price]]&lt;500000,"Budget",
IF(tbl_sales3[[#This Row],[Sale_Price]]&lt;1000000,"Mid-Range",
"Luxury"))</f>
        <v>Luxury</v>
      </c>
      <c r="R99" s="4">
        <f>IFERROR(tbl_sales3[[#This Row],[Sale_Price]]*tbl_sales3[[#This Row],[Commission_Rate]],0)</f>
        <v>50143.14</v>
      </c>
      <c r="S99" t="str">
        <f>IF(ABS(tbl_sales3[[#This Row],[Commission_Earned]]-tbl_sales3[[#This Row],[Calculated_Commission]])&lt;0.02,"Correct","Mismatch")</f>
        <v>Correct</v>
      </c>
      <c r="T99">
        <f>YEAR(tbl_sales3[[#This Row],[Sale_Date]])</f>
        <v>2024</v>
      </c>
      <c r="U99" s="1" t="str">
        <f>TEXT(tbl_sales3[[#This Row],[Sale_Date]],"mmmm")</f>
        <v>May</v>
      </c>
      <c r="V99" s="2">
        <f>EOMONTH(tbl_sales3[[#This Row],[Sale_Date]],0)</f>
        <v>45443</v>
      </c>
      <c r="W99" s="1" t="str">
        <f>IF(AND(tbl_sales3[[#This Row],[Sale_Price]]&gt;1000000,tbl_sales3[[#This Row],[Days_on_Market]]&lt;30),"High Demand","Normal")</f>
        <v>Normal</v>
      </c>
    </row>
    <row r="100" spans="1:23" x14ac:dyDescent="0.3">
      <c r="A100" s="1" t="s">
        <v>138</v>
      </c>
      <c r="B100" s="1" t="s">
        <v>26</v>
      </c>
      <c r="C100" s="1" t="s">
        <v>23</v>
      </c>
      <c r="D100">
        <v>1</v>
      </c>
      <c r="E100">
        <v>4</v>
      </c>
      <c r="F100">
        <v>2991</v>
      </c>
      <c r="G100">
        <v>824468</v>
      </c>
      <c r="H100">
        <v>770398</v>
      </c>
      <c r="I100" s="2">
        <v>45369</v>
      </c>
      <c r="J100" s="2">
        <v>45443</v>
      </c>
      <c r="K100">
        <v>74</v>
      </c>
      <c r="L100" s="1" t="s">
        <v>44</v>
      </c>
      <c r="M100" s="1" t="s">
        <v>20</v>
      </c>
      <c r="N100">
        <v>4.4999999999999998E-2</v>
      </c>
      <c r="O100">
        <v>34667.910000000003</v>
      </c>
      <c r="P100">
        <v>-54070</v>
      </c>
      <c r="Q100" t="str">
        <f>IF(tbl_sales3[[#This Row],[Sale_Price]]&lt;500000,"Budget",
IF(tbl_sales3[[#This Row],[Sale_Price]]&lt;1000000,"Mid-Range",
"Luxury"))</f>
        <v>Mid-Range</v>
      </c>
      <c r="R100" s="4">
        <f>IFERROR(tbl_sales3[[#This Row],[Sale_Price]]*tbl_sales3[[#This Row],[Commission_Rate]],0)</f>
        <v>34667.909999999996</v>
      </c>
      <c r="S100" t="str">
        <f>IF(ABS(tbl_sales3[[#This Row],[Commission_Earned]]-tbl_sales3[[#This Row],[Calculated_Commission]])&lt;0.02,"Correct","Mismatch")</f>
        <v>Correct</v>
      </c>
      <c r="T100">
        <f>YEAR(tbl_sales3[[#This Row],[Sale_Date]])</f>
        <v>2024</v>
      </c>
      <c r="U100" s="1" t="str">
        <f>TEXT(tbl_sales3[[#This Row],[Sale_Date]],"mmmm")</f>
        <v>May</v>
      </c>
      <c r="V100" s="2">
        <f>EOMONTH(tbl_sales3[[#This Row],[Sale_Date]],0)</f>
        <v>45443</v>
      </c>
      <c r="W100" s="1" t="str">
        <f>IF(AND(tbl_sales3[[#This Row],[Sale_Price]]&gt;1000000,tbl_sales3[[#This Row],[Days_on_Market]]&lt;30),"High Demand","Normal")</f>
        <v>Normal</v>
      </c>
    </row>
    <row r="101" spans="1:23" x14ac:dyDescent="0.3">
      <c r="A101" s="1" t="s">
        <v>139</v>
      </c>
      <c r="B101" s="1" t="s">
        <v>41</v>
      </c>
      <c r="C101" s="1" t="s">
        <v>33</v>
      </c>
      <c r="D101">
        <v>4</v>
      </c>
      <c r="E101">
        <v>4</v>
      </c>
      <c r="F101">
        <v>1031</v>
      </c>
      <c r="G101">
        <v>972423</v>
      </c>
      <c r="H101">
        <v>959348</v>
      </c>
      <c r="I101" s="2">
        <v>45336</v>
      </c>
      <c r="J101" s="2">
        <v>45366</v>
      </c>
      <c r="K101">
        <v>30</v>
      </c>
      <c r="L101" s="1" t="s">
        <v>39</v>
      </c>
      <c r="M101" s="1" t="s">
        <v>28</v>
      </c>
      <c r="N101">
        <v>0.05</v>
      </c>
      <c r="O101">
        <v>47967.4</v>
      </c>
      <c r="P101">
        <v>-13075</v>
      </c>
      <c r="Q101" t="str">
        <f>IF(tbl_sales3[[#This Row],[Sale_Price]]&lt;500000,"Budget",
IF(tbl_sales3[[#This Row],[Sale_Price]]&lt;1000000,"Mid-Range",
"Luxury"))</f>
        <v>Mid-Range</v>
      </c>
      <c r="R101" s="4">
        <f>IFERROR(tbl_sales3[[#This Row],[Sale_Price]]*tbl_sales3[[#This Row],[Commission_Rate]],0)</f>
        <v>47967.4</v>
      </c>
      <c r="S101" t="str">
        <f>IF(ABS(tbl_sales3[[#This Row],[Commission_Earned]]-tbl_sales3[[#This Row],[Calculated_Commission]])&lt;0.02,"Correct","Mismatch")</f>
        <v>Correct</v>
      </c>
      <c r="T101">
        <f>YEAR(tbl_sales3[[#This Row],[Sale_Date]])</f>
        <v>2024</v>
      </c>
      <c r="U101" s="1" t="str">
        <f>TEXT(tbl_sales3[[#This Row],[Sale_Date]],"mmmm")</f>
        <v>March</v>
      </c>
      <c r="V101" s="2">
        <f>EOMONTH(tbl_sales3[[#This Row],[Sale_Date]],0)</f>
        <v>45382</v>
      </c>
      <c r="W101" s="1" t="str">
        <f>IF(AND(tbl_sales3[[#This Row],[Sale_Price]]&gt;1000000,tbl_sales3[[#This Row],[Days_on_Market]]&lt;30),"High Demand","Normal")</f>
        <v>Normal</v>
      </c>
    </row>
    <row r="102" spans="1:23" x14ac:dyDescent="0.3">
      <c r="A102" s="1" t="s">
        <v>140</v>
      </c>
      <c r="B102" s="1" t="s">
        <v>26</v>
      </c>
      <c r="C102" s="1" t="s">
        <v>18</v>
      </c>
      <c r="D102">
        <v>2</v>
      </c>
      <c r="E102">
        <v>3</v>
      </c>
      <c r="F102">
        <v>2933</v>
      </c>
      <c r="G102">
        <v>855405</v>
      </c>
      <c r="H102">
        <v>830794</v>
      </c>
      <c r="I102" s="2">
        <v>45284</v>
      </c>
      <c r="J102" s="2">
        <v>45346</v>
      </c>
      <c r="K102">
        <v>62</v>
      </c>
      <c r="L102" s="1" t="s">
        <v>42</v>
      </c>
      <c r="M102" s="1" t="s">
        <v>24</v>
      </c>
      <c r="N102">
        <v>0.04</v>
      </c>
      <c r="O102">
        <v>33231.760000000002</v>
      </c>
      <c r="P102">
        <v>-24611</v>
      </c>
      <c r="Q102" t="str">
        <f>IF(tbl_sales3[[#This Row],[Sale_Price]]&lt;500000,"Budget",
IF(tbl_sales3[[#This Row],[Sale_Price]]&lt;1000000,"Mid-Range",
"Luxury"))</f>
        <v>Mid-Range</v>
      </c>
      <c r="R102" s="4">
        <f>IFERROR(tbl_sales3[[#This Row],[Sale_Price]]*tbl_sales3[[#This Row],[Commission_Rate]],0)</f>
        <v>33231.760000000002</v>
      </c>
      <c r="S102" t="str">
        <f>IF(ABS(tbl_sales3[[#This Row],[Commission_Earned]]-tbl_sales3[[#This Row],[Calculated_Commission]])&lt;0.02,"Correct","Mismatch")</f>
        <v>Correct</v>
      </c>
      <c r="T102">
        <f>YEAR(tbl_sales3[[#This Row],[Sale_Date]])</f>
        <v>2024</v>
      </c>
      <c r="U102" s="1" t="str">
        <f>TEXT(tbl_sales3[[#This Row],[Sale_Date]],"mmmm")</f>
        <v>February</v>
      </c>
      <c r="V102" s="2">
        <f>EOMONTH(tbl_sales3[[#This Row],[Sale_Date]],0)</f>
        <v>45351</v>
      </c>
      <c r="W102" s="1" t="str">
        <f>IF(AND(tbl_sales3[[#This Row],[Sale_Price]]&gt;1000000,tbl_sales3[[#This Row],[Days_on_Market]]&lt;30),"High Demand","Normal")</f>
        <v>Normal</v>
      </c>
    </row>
    <row r="103" spans="1:23" x14ac:dyDescent="0.3">
      <c r="A103" s="1" t="s">
        <v>141</v>
      </c>
      <c r="B103" s="1" t="s">
        <v>59</v>
      </c>
      <c r="C103" s="1" t="s">
        <v>38</v>
      </c>
      <c r="D103">
        <v>3</v>
      </c>
      <c r="E103">
        <v>1</v>
      </c>
      <c r="F103">
        <v>878</v>
      </c>
      <c r="G103">
        <v>1084999</v>
      </c>
      <c r="H103">
        <v>1046042</v>
      </c>
      <c r="I103" s="2">
        <v>45308</v>
      </c>
      <c r="J103" s="2">
        <v>45318</v>
      </c>
      <c r="K103">
        <v>10</v>
      </c>
      <c r="L103" s="1" t="s">
        <v>51</v>
      </c>
      <c r="M103" s="1" t="s">
        <v>20</v>
      </c>
      <c r="N103">
        <v>0.05</v>
      </c>
      <c r="O103">
        <v>52302.1</v>
      </c>
      <c r="P103">
        <v>-38957</v>
      </c>
      <c r="Q103" t="str">
        <f>IF(tbl_sales3[[#This Row],[Sale_Price]]&lt;500000,"Budget",
IF(tbl_sales3[[#This Row],[Sale_Price]]&lt;1000000,"Mid-Range",
"Luxury"))</f>
        <v>Luxury</v>
      </c>
      <c r="R103" s="4">
        <f>IFERROR(tbl_sales3[[#This Row],[Sale_Price]]*tbl_sales3[[#This Row],[Commission_Rate]],0)</f>
        <v>52302.100000000006</v>
      </c>
      <c r="S103" t="str">
        <f>IF(ABS(tbl_sales3[[#This Row],[Commission_Earned]]-tbl_sales3[[#This Row],[Calculated_Commission]])&lt;0.02,"Correct","Mismatch")</f>
        <v>Correct</v>
      </c>
      <c r="T103">
        <f>YEAR(tbl_sales3[[#This Row],[Sale_Date]])</f>
        <v>2024</v>
      </c>
      <c r="U103" s="1" t="str">
        <f>TEXT(tbl_sales3[[#This Row],[Sale_Date]],"mmmm")</f>
        <v>January</v>
      </c>
      <c r="V103" s="2">
        <f>EOMONTH(tbl_sales3[[#This Row],[Sale_Date]],0)</f>
        <v>45322</v>
      </c>
      <c r="W103" s="1" t="str">
        <f>IF(AND(tbl_sales3[[#This Row],[Sale_Price]]&gt;1000000,tbl_sales3[[#This Row],[Days_on_Market]]&lt;30),"High Demand","Normal")</f>
        <v>High Demand</v>
      </c>
    </row>
    <row r="104" spans="1:23" x14ac:dyDescent="0.3">
      <c r="A104" s="1" t="s">
        <v>142</v>
      </c>
      <c r="B104" s="1" t="s">
        <v>26</v>
      </c>
      <c r="C104" s="1" t="s">
        <v>33</v>
      </c>
      <c r="D104">
        <v>2</v>
      </c>
      <c r="E104">
        <v>4</v>
      </c>
      <c r="F104">
        <v>3238</v>
      </c>
      <c r="G104">
        <v>352846</v>
      </c>
      <c r="H104">
        <v>291790</v>
      </c>
      <c r="I104" s="2">
        <v>45309</v>
      </c>
      <c r="J104" s="2">
        <v>45393</v>
      </c>
      <c r="K104">
        <v>84</v>
      </c>
      <c r="L104" s="1" t="s">
        <v>51</v>
      </c>
      <c r="M104" s="1" t="s">
        <v>28</v>
      </c>
      <c r="N104">
        <v>0.04</v>
      </c>
      <c r="O104">
        <v>11671.6</v>
      </c>
      <c r="P104">
        <v>-61056</v>
      </c>
      <c r="Q104" t="str">
        <f>IF(tbl_sales3[[#This Row],[Sale_Price]]&lt;500000,"Budget",
IF(tbl_sales3[[#This Row],[Sale_Price]]&lt;1000000,"Mid-Range",
"Luxury"))</f>
        <v>Budget</v>
      </c>
      <c r="R104" s="4">
        <f>IFERROR(tbl_sales3[[#This Row],[Sale_Price]]*tbl_sales3[[#This Row],[Commission_Rate]],0)</f>
        <v>11671.6</v>
      </c>
      <c r="S104" t="str">
        <f>IF(ABS(tbl_sales3[[#This Row],[Commission_Earned]]-tbl_sales3[[#This Row],[Calculated_Commission]])&lt;0.02,"Correct","Mismatch")</f>
        <v>Correct</v>
      </c>
      <c r="T104">
        <f>YEAR(tbl_sales3[[#This Row],[Sale_Date]])</f>
        <v>2024</v>
      </c>
      <c r="U104" s="1" t="str">
        <f>TEXT(tbl_sales3[[#This Row],[Sale_Date]],"mmmm")</f>
        <v>April</v>
      </c>
      <c r="V104" s="2">
        <f>EOMONTH(tbl_sales3[[#This Row],[Sale_Date]],0)</f>
        <v>45412</v>
      </c>
      <c r="W104" s="1" t="str">
        <f>IF(AND(tbl_sales3[[#This Row],[Sale_Price]]&gt;1000000,tbl_sales3[[#This Row],[Days_on_Market]]&lt;30),"High Demand","Normal")</f>
        <v>Normal</v>
      </c>
    </row>
    <row r="105" spans="1:23" x14ac:dyDescent="0.3">
      <c r="A105" s="1" t="s">
        <v>143</v>
      </c>
      <c r="B105" s="1" t="s">
        <v>48</v>
      </c>
      <c r="C105" s="1" t="s">
        <v>18</v>
      </c>
      <c r="D105">
        <v>1</v>
      </c>
      <c r="E105">
        <v>2</v>
      </c>
      <c r="F105">
        <v>1410</v>
      </c>
      <c r="G105">
        <v>391336</v>
      </c>
      <c r="H105">
        <v>320565</v>
      </c>
      <c r="I105" s="2">
        <v>45231</v>
      </c>
      <c r="J105" s="2">
        <v>45238</v>
      </c>
      <c r="K105">
        <v>7</v>
      </c>
      <c r="L105" s="1" t="s">
        <v>44</v>
      </c>
      <c r="M105" s="1" t="s">
        <v>28</v>
      </c>
      <c r="N105">
        <v>4.4999999999999998E-2</v>
      </c>
      <c r="O105">
        <v>14425.42</v>
      </c>
      <c r="P105">
        <v>-70771</v>
      </c>
      <c r="Q105" t="str">
        <f>IF(tbl_sales3[[#This Row],[Sale_Price]]&lt;500000,"Budget",
IF(tbl_sales3[[#This Row],[Sale_Price]]&lt;1000000,"Mid-Range",
"Luxury"))</f>
        <v>Budget</v>
      </c>
      <c r="R105" s="4">
        <f>IFERROR(tbl_sales3[[#This Row],[Sale_Price]]*tbl_sales3[[#This Row],[Commission_Rate]],0)</f>
        <v>14425.424999999999</v>
      </c>
      <c r="S105" t="str">
        <f>IF(ABS(tbl_sales3[[#This Row],[Commission_Earned]]-tbl_sales3[[#This Row],[Calculated_Commission]])&lt;0.02,"Correct","Mismatch")</f>
        <v>Correct</v>
      </c>
      <c r="T105">
        <f>YEAR(tbl_sales3[[#This Row],[Sale_Date]])</f>
        <v>2023</v>
      </c>
      <c r="U105" s="1" t="str">
        <f>TEXT(tbl_sales3[[#This Row],[Sale_Date]],"mmmm")</f>
        <v>November</v>
      </c>
      <c r="V105" s="2">
        <f>EOMONTH(tbl_sales3[[#This Row],[Sale_Date]],0)</f>
        <v>45260</v>
      </c>
      <c r="W105" s="1" t="str">
        <f>IF(AND(tbl_sales3[[#This Row],[Sale_Price]]&gt;1000000,tbl_sales3[[#This Row],[Days_on_Market]]&lt;30),"High Demand","Normal")</f>
        <v>Normal</v>
      </c>
    </row>
    <row r="106" spans="1:23" x14ac:dyDescent="0.3">
      <c r="A106" s="1" t="s">
        <v>144</v>
      </c>
      <c r="B106" s="1" t="s">
        <v>48</v>
      </c>
      <c r="C106" s="1" t="s">
        <v>23</v>
      </c>
      <c r="D106">
        <v>5</v>
      </c>
      <c r="E106">
        <v>1</v>
      </c>
      <c r="F106">
        <v>3149</v>
      </c>
      <c r="G106">
        <v>566465</v>
      </c>
      <c r="H106">
        <v>533270</v>
      </c>
      <c r="I106" s="2">
        <v>44997</v>
      </c>
      <c r="J106" s="2">
        <v>45010</v>
      </c>
      <c r="K106">
        <v>13</v>
      </c>
      <c r="L106" s="1" t="s">
        <v>44</v>
      </c>
      <c r="M106" s="1" t="s">
        <v>24</v>
      </c>
      <c r="N106">
        <v>0.04</v>
      </c>
      <c r="O106">
        <v>21330.799999999999</v>
      </c>
      <c r="P106">
        <v>-33195</v>
      </c>
      <c r="Q106" t="str">
        <f>IF(tbl_sales3[[#This Row],[Sale_Price]]&lt;500000,"Budget",
IF(tbl_sales3[[#This Row],[Sale_Price]]&lt;1000000,"Mid-Range",
"Luxury"))</f>
        <v>Mid-Range</v>
      </c>
      <c r="R106" s="4">
        <f>IFERROR(tbl_sales3[[#This Row],[Sale_Price]]*tbl_sales3[[#This Row],[Commission_Rate]],0)</f>
        <v>21330.799999999999</v>
      </c>
      <c r="S106" t="str">
        <f>IF(ABS(tbl_sales3[[#This Row],[Commission_Earned]]-tbl_sales3[[#This Row],[Calculated_Commission]])&lt;0.02,"Correct","Mismatch")</f>
        <v>Correct</v>
      </c>
      <c r="T106">
        <f>YEAR(tbl_sales3[[#This Row],[Sale_Date]])</f>
        <v>2023</v>
      </c>
      <c r="U106" s="1" t="str">
        <f>TEXT(tbl_sales3[[#This Row],[Sale_Date]],"mmmm")</f>
        <v>March</v>
      </c>
      <c r="V106" s="2">
        <f>EOMONTH(tbl_sales3[[#This Row],[Sale_Date]],0)</f>
        <v>45016</v>
      </c>
      <c r="W106" s="1" t="str">
        <f>IF(AND(tbl_sales3[[#This Row],[Sale_Price]]&gt;1000000,tbl_sales3[[#This Row],[Days_on_Market]]&lt;30),"High Demand","Normal")</f>
        <v>Normal</v>
      </c>
    </row>
    <row r="107" spans="1:23" x14ac:dyDescent="0.3">
      <c r="A107" s="1" t="s">
        <v>145</v>
      </c>
      <c r="B107" s="1" t="s">
        <v>48</v>
      </c>
      <c r="C107" s="1" t="s">
        <v>18</v>
      </c>
      <c r="D107">
        <v>2</v>
      </c>
      <c r="E107">
        <v>4</v>
      </c>
      <c r="F107">
        <v>1082</v>
      </c>
      <c r="G107">
        <v>1660641</v>
      </c>
      <c r="H107">
        <v>1587602</v>
      </c>
      <c r="I107" s="2">
        <v>44929</v>
      </c>
      <c r="J107" s="2">
        <v>44949</v>
      </c>
      <c r="K107">
        <v>20</v>
      </c>
      <c r="L107" s="1" t="s">
        <v>44</v>
      </c>
      <c r="M107" s="1" t="s">
        <v>28</v>
      </c>
      <c r="N107">
        <v>4.4999999999999998E-2</v>
      </c>
      <c r="O107">
        <v>71442.09</v>
      </c>
      <c r="P107">
        <v>-73039</v>
      </c>
      <c r="Q107" t="str">
        <f>IF(tbl_sales3[[#This Row],[Sale_Price]]&lt;500000,"Budget",
IF(tbl_sales3[[#This Row],[Sale_Price]]&lt;1000000,"Mid-Range",
"Luxury"))</f>
        <v>Luxury</v>
      </c>
      <c r="R107" s="4">
        <f>IFERROR(tbl_sales3[[#This Row],[Sale_Price]]*tbl_sales3[[#This Row],[Commission_Rate]],0)</f>
        <v>71442.09</v>
      </c>
      <c r="S107" t="str">
        <f>IF(ABS(tbl_sales3[[#This Row],[Commission_Earned]]-tbl_sales3[[#This Row],[Calculated_Commission]])&lt;0.02,"Correct","Mismatch")</f>
        <v>Correct</v>
      </c>
      <c r="T107">
        <f>YEAR(tbl_sales3[[#This Row],[Sale_Date]])</f>
        <v>2023</v>
      </c>
      <c r="U107" s="1" t="str">
        <f>TEXT(tbl_sales3[[#This Row],[Sale_Date]],"mmmm")</f>
        <v>January</v>
      </c>
      <c r="V107" s="2">
        <f>EOMONTH(tbl_sales3[[#This Row],[Sale_Date]],0)</f>
        <v>44957</v>
      </c>
      <c r="W107" s="1" t="str">
        <f>IF(AND(tbl_sales3[[#This Row],[Sale_Price]]&gt;1000000,tbl_sales3[[#This Row],[Days_on_Market]]&lt;30),"High Demand","Normal")</f>
        <v>High Demand</v>
      </c>
    </row>
    <row r="108" spans="1:23" x14ac:dyDescent="0.3">
      <c r="A108" s="1" t="s">
        <v>146</v>
      </c>
      <c r="B108" s="1" t="s">
        <v>22</v>
      </c>
      <c r="C108" s="1" t="s">
        <v>23</v>
      </c>
      <c r="D108">
        <v>4</v>
      </c>
      <c r="E108">
        <v>1</v>
      </c>
      <c r="F108">
        <v>3145</v>
      </c>
      <c r="G108">
        <v>1245922</v>
      </c>
      <c r="H108">
        <v>1166315</v>
      </c>
      <c r="I108" s="2">
        <v>45044</v>
      </c>
      <c r="J108" s="2">
        <v>45052</v>
      </c>
      <c r="K108">
        <v>8</v>
      </c>
      <c r="L108" s="1" t="s">
        <v>42</v>
      </c>
      <c r="M108" s="1" t="s">
        <v>24</v>
      </c>
      <c r="N108">
        <v>0.05</v>
      </c>
      <c r="O108">
        <v>58315.75</v>
      </c>
      <c r="P108">
        <v>-79607</v>
      </c>
      <c r="Q108" t="str">
        <f>IF(tbl_sales3[[#This Row],[Sale_Price]]&lt;500000,"Budget",
IF(tbl_sales3[[#This Row],[Sale_Price]]&lt;1000000,"Mid-Range",
"Luxury"))</f>
        <v>Luxury</v>
      </c>
      <c r="R108" s="4">
        <f>IFERROR(tbl_sales3[[#This Row],[Sale_Price]]*tbl_sales3[[#This Row],[Commission_Rate]],0)</f>
        <v>58315.75</v>
      </c>
      <c r="S108" t="str">
        <f>IF(ABS(tbl_sales3[[#This Row],[Commission_Earned]]-tbl_sales3[[#This Row],[Calculated_Commission]])&lt;0.02,"Correct","Mismatch")</f>
        <v>Correct</v>
      </c>
      <c r="T108">
        <f>YEAR(tbl_sales3[[#This Row],[Sale_Date]])</f>
        <v>2023</v>
      </c>
      <c r="U108" s="1" t="str">
        <f>TEXT(tbl_sales3[[#This Row],[Sale_Date]],"mmmm")</f>
        <v>May</v>
      </c>
      <c r="V108" s="2">
        <f>EOMONTH(tbl_sales3[[#This Row],[Sale_Date]],0)</f>
        <v>45077</v>
      </c>
      <c r="W108" s="1" t="str">
        <f>IF(AND(tbl_sales3[[#This Row],[Sale_Price]]&gt;1000000,tbl_sales3[[#This Row],[Days_on_Market]]&lt;30),"High Demand","Normal")</f>
        <v>High Demand</v>
      </c>
    </row>
    <row r="109" spans="1:23" x14ac:dyDescent="0.3">
      <c r="A109" s="1" t="s">
        <v>147</v>
      </c>
      <c r="B109" s="1" t="s">
        <v>32</v>
      </c>
      <c r="C109" s="1" t="s">
        <v>23</v>
      </c>
      <c r="D109">
        <v>1</v>
      </c>
      <c r="E109">
        <v>2</v>
      </c>
      <c r="F109">
        <v>2329</v>
      </c>
      <c r="G109">
        <v>753838</v>
      </c>
      <c r="H109">
        <v>724161</v>
      </c>
      <c r="I109" s="2">
        <v>45622</v>
      </c>
      <c r="J109" s="2">
        <v>45703</v>
      </c>
      <c r="K109">
        <v>81</v>
      </c>
      <c r="L109" s="1" t="s">
        <v>27</v>
      </c>
      <c r="M109" s="1" t="s">
        <v>28</v>
      </c>
      <c r="N109">
        <v>0.04</v>
      </c>
      <c r="O109">
        <v>28966.44</v>
      </c>
      <c r="P109">
        <v>-29677</v>
      </c>
      <c r="Q109" t="str">
        <f>IF(tbl_sales3[[#This Row],[Sale_Price]]&lt;500000,"Budget",
IF(tbl_sales3[[#This Row],[Sale_Price]]&lt;1000000,"Mid-Range",
"Luxury"))</f>
        <v>Mid-Range</v>
      </c>
      <c r="R109" s="4">
        <f>IFERROR(tbl_sales3[[#This Row],[Sale_Price]]*tbl_sales3[[#This Row],[Commission_Rate]],0)</f>
        <v>28966.440000000002</v>
      </c>
      <c r="S109" t="str">
        <f>IF(ABS(tbl_sales3[[#This Row],[Commission_Earned]]-tbl_sales3[[#This Row],[Calculated_Commission]])&lt;0.02,"Correct","Mismatch")</f>
        <v>Correct</v>
      </c>
      <c r="T109">
        <f>YEAR(tbl_sales3[[#This Row],[Sale_Date]])</f>
        <v>2025</v>
      </c>
      <c r="U109" s="1" t="str">
        <f>TEXT(tbl_sales3[[#This Row],[Sale_Date]],"mmmm")</f>
        <v>February</v>
      </c>
      <c r="V109" s="2">
        <f>EOMONTH(tbl_sales3[[#This Row],[Sale_Date]],0)</f>
        <v>45716</v>
      </c>
      <c r="W109" s="1" t="str">
        <f>IF(AND(tbl_sales3[[#This Row],[Sale_Price]]&gt;1000000,tbl_sales3[[#This Row],[Days_on_Market]]&lt;30),"High Demand","Normal")</f>
        <v>Normal</v>
      </c>
    </row>
    <row r="110" spans="1:23" x14ac:dyDescent="0.3">
      <c r="A110" s="1" t="s">
        <v>148</v>
      </c>
      <c r="B110" s="1" t="s">
        <v>26</v>
      </c>
      <c r="C110" s="1" t="s">
        <v>38</v>
      </c>
      <c r="D110">
        <v>1</v>
      </c>
      <c r="E110">
        <v>3</v>
      </c>
      <c r="F110">
        <v>1307</v>
      </c>
      <c r="G110">
        <v>532814</v>
      </c>
      <c r="H110">
        <v>468421</v>
      </c>
      <c r="I110" s="2">
        <v>45099</v>
      </c>
      <c r="J110" s="2">
        <v>45123</v>
      </c>
      <c r="K110">
        <v>24</v>
      </c>
      <c r="L110" s="1" t="s">
        <v>19</v>
      </c>
      <c r="M110" s="1" t="s">
        <v>28</v>
      </c>
      <c r="N110">
        <v>0.05</v>
      </c>
      <c r="O110">
        <v>23421.05</v>
      </c>
      <c r="P110">
        <v>-64393</v>
      </c>
      <c r="Q110" t="str">
        <f>IF(tbl_sales3[[#This Row],[Sale_Price]]&lt;500000,"Budget",
IF(tbl_sales3[[#This Row],[Sale_Price]]&lt;1000000,"Mid-Range",
"Luxury"))</f>
        <v>Budget</v>
      </c>
      <c r="R110" s="4">
        <f>IFERROR(tbl_sales3[[#This Row],[Sale_Price]]*tbl_sales3[[#This Row],[Commission_Rate]],0)</f>
        <v>23421.050000000003</v>
      </c>
      <c r="S110" t="str">
        <f>IF(ABS(tbl_sales3[[#This Row],[Commission_Earned]]-tbl_sales3[[#This Row],[Calculated_Commission]])&lt;0.02,"Correct","Mismatch")</f>
        <v>Correct</v>
      </c>
      <c r="T110">
        <f>YEAR(tbl_sales3[[#This Row],[Sale_Date]])</f>
        <v>2023</v>
      </c>
      <c r="U110" s="1" t="str">
        <f>TEXT(tbl_sales3[[#This Row],[Sale_Date]],"mmmm")</f>
        <v>July</v>
      </c>
      <c r="V110" s="2">
        <f>EOMONTH(tbl_sales3[[#This Row],[Sale_Date]],0)</f>
        <v>45138</v>
      </c>
      <c r="W110" s="1" t="str">
        <f>IF(AND(tbl_sales3[[#This Row],[Sale_Price]]&gt;1000000,tbl_sales3[[#This Row],[Days_on_Market]]&lt;30),"High Demand","Normal")</f>
        <v>Normal</v>
      </c>
    </row>
    <row r="111" spans="1:23" x14ac:dyDescent="0.3">
      <c r="A111" s="1" t="s">
        <v>149</v>
      </c>
      <c r="B111" s="1" t="s">
        <v>26</v>
      </c>
      <c r="C111" s="1" t="s">
        <v>38</v>
      </c>
      <c r="D111">
        <v>5</v>
      </c>
      <c r="E111">
        <v>3</v>
      </c>
      <c r="F111">
        <v>2524</v>
      </c>
      <c r="G111">
        <v>644637</v>
      </c>
      <c r="H111">
        <v>608565</v>
      </c>
      <c r="I111" s="2">
        <v>45234</v>
      </c>
      <c r="J111" s="2">
        <v>45297</v>
      </c>
      <c r="K111">
        <v>63</v>
      </c>
      <c r="L111" s="1" t="s">
        <v>44</v>
      </c>
      <c r="M111" s="1" t="s">
        <v>24</v>
      </c>
      <c r="N111">
        <v>0.05</v>
      </c>
      <c r="O111">
        <v>30428.25</v>
      </c>
      <c r="P111">
        <v>-36072</v>
      </c>
      <c r="Q111" t="str">
        <f>IF(tbl_sales3[[#This Row],[Sale_Price]]&lt;500000,"Budget",
IF(tbl_sales3[[#This Row],[Sale_Price]]&lt;1000000,"Mid-Range",
"Luxury"))</f>
        <v>Mid-Range</v>
      </c>
      <c r="R111" s="4">
        <f>IFERROR(tbl_sales3[[#This Row],[Sale_Price]]*tbl_sales3[[#This Row],[Commission_Rate]],0)</f>
        <v>30428.25</v>
      </c>
      <c r="S111" t="str">
        <f>IF(ABS(tbl_sales3[[#This Row],[Commission_Earned]]-tbl_sales3[[#This Row],[Calculated_Commission]])&lt;0.02,"Correct","Mismatch")</f>
        <v>Correct</v>
      </c>
      <c r="T111">
        <f>YEAR(tbl_sales3[[#This Row],[Sale_Date]])</f>
        <v>2024</v>
      </c>
      <c r="U111" s="1" t="str">
        <f>TEXT(tbl_sales3[[#This Row],[Sale_Date]],"mmmm")</f>
        <v>January</v>
      </c>
      <c r="V111" s="2">
        <f>EOMONTH(tbl_sales3[[#This Row],[Sale_Date]],0)</f>
        <v>45322</v>
      </c>
      <c r="W111" s="1" t="str">
        <f>IF(AND(tbl_sales3[[#This Row],[Sale_Price]]&gt;1000000,tbl_sales3[[#This Row],[Days_on_Market]]&lt;30),"High Demand","Normal")</f>
        <v>Normal</v>
      </c>
    </row>
    <row r="112" spans="1:23" x14ac:dyDescent="0.3">
      <c r="A112" s="1" t="s">
        <v>150</v>
      </c>
      <c r="B112" s="1" t="s">
        <v>32</v>
      </c>
      <c r="C112" s="1" t="s">
        <v>18</v>
      </c>
      <c r="D112">
        <v>4</v>
      </c>
      <c r="E112">
        <v>4</v>
      </c>
      <c r="F112">
        <v>1113</v>
      </c>
      <c r="G112">
        <v>1360602</v>
      </c>
      <c r="H112">
        <v>1334000</v>
      </c>
      <c r="I112" s="2">
        <v>45050</v>
      </c>
      <c r="J112" s="2">
        <v>45140</v>
      </c>
      <c r="K112">
        <v>90</v>
      </c>
      <c r="L112" s="1" t="s">
        <v>39</v>
      </c>
      <c r="M112" s="1" t="s">
        <v>28</v>
      </c>
      <c r="N112">
        <v>0.04</v>
      </c>
      <c r="O112">
        <v>53360</v>
      </c>
      <c r="P112">
        <v>-26602</v>
      </c>
      <c r="Q112" t="str">
        <f>IF(tbl_sales3[[#This Row],[Sale_Price]]&lt;500000,"Budget",
IF(tbl_sales3[[#This Row],[Sale_Price]]&lt;1000000,"Mid-Range",
"Luxury"))</f>
        <v>Luxury</v>
      </c>
      <c r="R112" s="4">
        <f>IFERROR(tbl_sales3[[#This Row],[Sale_Price]]*tbl_sales3[[#This Row],[Commission_Rate]],0)</f>
        <v>53360</v>
      </c>
      <c r="S112" t="str">
        <f>IF(ABS(tbl_sales3[[#This Row],[Commission_Earned]]-tbl_sales3[[#This Row],[Calculated_Commission]])&lt;0.02,"Correct","Mismatch")</f>
        <v>Correct</v>
      </c>
      <c r="T112">
        <f>YEAR(tbl_sales3[[#This Row],[Sale_Date]])</f>
        <v>2023</v>
      </c>
      <c r="U112" s="1" t="str">
        <f>TEXT(tbl_sales3[[#This Row],[Sale_Date]],"mmmm")</f>
        <v>August</v>
      </c>
      <c r="V112" s="2">
        <f>EOMONTH(tbl_sales3[[#This Row],[Sale_Date]],0)</f>
        <v>45169</v>
      </c>
      <c r="W112" s="1" t="str">
        <f>IF(AND(tbl_sales3[[#This Row],[Sale_Price]]&gt;1000000,tbl_sales3[[#This Row],[Days_on_Market]]&lt;30),"High Demand","Normal")</f>
        <v>Normal</v>
      </c>
    </row>
    <row r="113" spans="1:23" x14ac:dyDescent="0.3">
      <c r="A113" s="1" t="s">
        <v>151</v>
      </c>
      <c r="B113" s="1" t="s">
        <v>48</v>
      </c>
      <c r="C113" s="1" t="s">
        <v>38</v>
      </c>
      <c r="D113">
        <v>2</v>
      </c>
      <c r="E113">
        <v>1</v>
      </c>
      <c r="F113">
        <v>3063</v>
      </c>
      <c r="G113">
        <v>1778842</v>
      </c>
      <c r="H113">
        <v>1747783</v>
      </c>
      <c r="I113" s="2">
        <v>45626</v>
      </c>
      <c r="J113" s="2">
        <v>45673</v>
      </c>
      <c r="K113">
        <v>47</v>
      </c>
      <c r="L113" s="1" t="s">
        <v>27</v>
      </c>
      <c r="M113" s="1" t="s">
        <v>28</v>
      </c>
      <c r="N113">
        <v>0.05</v>
      </c>
      <c r="O113">
        <v>87389.15</v>
      </c>
      <c r="P113">
        <v>-31059</v>
      </c>
      <c r="Q113" t="str">
        <f>IF(tbl_sales3[[#This Row],[Sale_Price]]&lt;500000,"Budget",
IF(tbl_sales3[[#This Row],[Sale_Price]]&lt;1000000,"Mid-Range",
"Luxury"))</f>
        <v>Luxury</v>
      </c>
      <c r="R113" s="4">
        <f>IFERROR(tbl_sales3[[#This Row],[Sale_Price]]*tbl_sales3[[#This Row],[Commission_Rate]],0)</f>
        <v>87389.150000000009</v>
      </c>
      <c r="S113" t="str">
        <f>IF(ABS(tbl_sales3[[#This Row],[Commission_Earned]]-tbl_sales3[[#This Row],[Calculated_Commission]])&lt;0.02,"Correct","Mismatch")</f>
        <v>Correct</v>
      </c>
      <c r="T113">
        <f>YEAR(tbl_sales3[[#This Row],[Sale_Date]])</f>
        <v>2025</v>
      </c>
      <c r="U113" s="1" t="str">
        <f>TEXT(tbl_sales3[[#This Row],[Sale_Date]],"mmmm")</f>
        <v>January</v>
      </c>
      <c r="V113" s="2">
        <f>EOMONTH(tbl_sales3[[#This Row],[Sale_Date]],0)</f>
        <v>45688</v>
      </c>
      <c r="W113" s="1" t="str">
        <f>IF(AND(tbl_sales3[[#This Row],[Sale_Price]]&gt;1000000,tbl_sales3[[#This Row],[Days_on_Market]]&lt;30),"High Demand","Normal")</f>
        <v>Normal</v>
      </c>
    </row>
    <row r="114" spans="1:23" x14ac:dyDescent="0.3">
      <c r="A114" s="1" t="s">
        <v>152</v>
      </c>
      <c r="B114" s="1" t="s">
        <v>37</v>
      </c>
      <c r="C114" s="1" t="s">
        <v>35</v>
      </c>
      <c r="D114">
        <v>5</v>
      </c>
      <c r="E114">
        <v>2</v>
      </c>
      <c r="F114">
        <v>2105</v>
      </c>
      <c r="G114">
        <v>1499213</v>
      </c>
      <c r="H114">
        <v>1470084</v>
      </c>
      <c r="I114" s="2">
        <v>45033</v>
      </c>
      <c r="J114" s="2">
        <v>45119</v>
      </c>
      <c r="K114">
        <v>86</v>
      </c>
      <c r="L114" s="1" t="s">
        <v>19</v>
      </c>
      <c r="M114" s="1" t="s">
        <v>20</v>
      </c>
      <c r="N114">
        <v>0.05</v>
      </c>
      <c r="O114">
        <v>73504.2</v>
      </c>
      <c r="P114">
        <v>-29129</v>
      </c>
      <c r="Q114" t="str">
        <f>IF(tbl_sales3[[#This Row],[Sale_Price]]&lt;500000,"Budget",
IF(tbl_sales3[[#This Row],[Sale_Price]]&lt;1000000,"Mid-Range",
"Luxury"))</f>
        <v>Luxury</v>
      </c>
      <c r="R114" s="4">
        <f>IFERROR(tbl_sales3[[#This Row],[Sale_Price]]*tbl_sales3[[#This Row],[Commission_Rate]],0)</f>
        <v>73504.2</v>
      </c>
      <c r="S114" t="str">
        <f>IF(ABS(tbl_sales3[[#This Row],[Commission_Earned]]-tbl_sales3[[#This Row],[Calculated_Commission]])&lt;0.02,"Correct","Mismatch")</f>
        <v>Correct</v>
      </c>
      <c r="T114">
        <f>YEAR(tbl_sales3[[#This Row],[Sale_Date]])</f>
        <v>2023</v>
      </c>
      <c r="U114" s="1" t="str">
        <f>TEXT(tbl_sales3[[#This Row],[Sale_Date]],"mmmm")</f>
        <v>July</v>
      </c>
      <c r="V114" s="2">
        <f>EOMONTH(tbl_sales3[[#This Row],[Sale_Date]],0)</f>
        <v>45138</v>
      </c>
      <c r="W114" s="1" t="str">
        <f>IF(AND(tbl_sales3[[#This Row],[Sale_Price]]&gt;1000000,tbl_sales3[[#This Row],[Days_on_Market]]&lt;30),"High Demand","Normal")</f>
        <v>Normal</v>
      </c>
    </row>
    <row r="115" spans="1:23" x14ac:dyDescent="0.3">
      <c r="A115" s="1" t="s">
        <v>153</v>
      </c>
      <c r="B115" s="1" t="s">
        <v>22</v>
      </c>
      <c r="C115" s="1" t="s">
        <v>35</v>
      </c>
      <c r="D115">
        <v>2</v>
      </c>
      <c r="E115">
        <v>1</v>
      </c>
      <c r="F115">
        <v>1218</v>
      </c>
      <c r="G115">
        <v>980553</v>
      </c>
      <c r="H115">
        <v>906862</v>
      </c>
      <c r="I115" s="2">
        <v>45519</v>
      </c>
      <c r="J115" s="2">
        <v>45539</v>
      </c>
      <c r="K115">
        <v>20</v>
      </c>
      <c r="L115" s="1" t="s">
        <v>53</v>
      </c>
      <c r="M115" s="1" t="s">
        <v>24</v>
      </c>
      <c r="N115">
        <v>0.04</v>
      </c>
      <c r="O115">
        <v>36274.480000000003</v>
      </c>
      <c r="P115">
        <v>-73691</v>
      </c>
      <c r="Q115" t="str">
        <f>IF(tbl_sales3[[#This Row],[Sale_Price]]&lt;500000,"Budget",
IF(tbl_sales3[[#This Row],[Sale_Price]]&lt;1000000,"Mid-Range",
"Luxury"))</f>
        <v>Mid-Range</v>
      </c>
      <c r="R115" s="4">
        <f>IFERROR(tbl_sales3[[#This Row],[Sale_Price]]*tbl_sales3[[#This Row],[Commission_Rate]],0)</f>
        <v>36274.480000000003</v>
      </c>
      <c r="S115" t="str">
        <f>IF(ABS(tbl_sales3[[#This Row],[Commission_Earned]]-tbl_sales3[[#This Row],[Calculated_Commission]])&lt;0.02,"Correct","Mismatch")</f>
        <v>Correct</v>
      </c>
      <c r="T115">
        <f>YEAR(tbl_sales3[[#This Row],[Sale_Date]])</f>
        <v>2024</v>
      </c>
      <c r="U115" s="1" t="str">
        <f>TEXT(tbl_sales3[[#This Row],[Sale_Date]],"mmmm")</f>
        <v>September</v>
      </c>
      <c r="V115" s="2">
        <f>EOMONTH(tbl_sales3[[#This Row],[Sale_Date]],0)</f>
        <v>45565</v>
      </c>
      <c r="W115" s="1" t="str">
        <f>IF(AND(tbl_sales3[[#This Row],[Sale_Price]]&gt;1000000,tbl_sales3[[#This Row],[Days_on_Market]]&lt;30),"High Demand","Normal")</f>
        <v>Normal</v>
      </c>
    </row>
    <row r="116" spans="1:23" x14ac:dyDescent="0.3">
      <c r="A116" s="1" t="s">
        <v>154</v>
      </c>
      <c r="B116" s="1" t="s">
        <v>59</v>
      </c>
      <c r="C116" s="1" t="s">
        <v>18</v>
      </c>
      <c r="D116">
        <v>3</v>
      </c>
      <c r="E116">
        <v>2</v>
      </c>
      <c r="F116">
        <v>2153</v>
      </c>
      <c r="G116">
        <v>994236</v>
      </c>
      <c r="H116">
        <v>917022</v>
      </c>
      <c r="I116" s="2">
        <v>44975</v>
      </c>
      <c r="J116" s="2">
        <v>45052</v>
      </c>
      <c r="K116">
        <v>77</v>
      </c>
      <c r="L116" s="1" t="s">
        <v>39</v>
      </c>
      <c r="M116" s="1" t="s">
        <v>28</v>
      </c>
      <c r="N116">
        <v>0.05</v>
      </c>
      <c r="O116">
        <v>45851.1</v>
      </c>
      <c r="P116">
        <v>-77214</v>
      </c>
      <c r="Q116" t="str">
        <f>IF(tbl_sales3[[#This Row],[Sale_Price]]&lt;500000,"Budget",
IF(tbl_sales3[[#This Row],[Sale_Price]]&lt;1000000,"Mid-Range",
"Luxury"))</f>
        <v>Mid-Range</v>
      </c>
      <c r="R116" s="4">
        <f>IFERROR(tbl_sales3[[#This Row],[Sale_Price]]*tbl_sales3[[#This Row],[Commission_Rate]],0)</f>
        <v>45851.100000000006</v>
      </c>
      <c r="S116" t="str">
        <f>IF(ABS(tbl_sales3[[#This Row],[Commission_Earned]]-tbl_sales3[[#This Row],[Calculated_Commission]])&lt;0.02,"Correct","Mismatch")</f>
        <v>Correct</v>
      </c>
      <c r="T116">
        <f>YEAR(tbl_sales3[[#This Row],[Sale_Date]])</f>
        <v>2023</v>
      </c>
      <c r="U116" s="1" t="str">
        <f>TEXT(tbl_sales3[[#This Row],[Sale_Date]],"mmmm")</f>
        <v>May</v>
      </c>
      <c r="V116" s="2">
        <f>EOMONTH(tbl_sales3[[#This Row],[Sale_Date]],0)</f>
        <v>45077</v>
      </c>
      <c r="W116" s="1" t="str">
        <f>IF(AND(tbl_sales3[[#This Row],[Sale_Price]]&gt;1000000,tbl_sales3[[#This Row],[Days_on_Market]]&lt;30),"High Demand","Normal")</f>
        <v>Normal</v>
      </c>
    </row>
    <row r="117" spans="1:23" x14ac:dyDescent="0.3">
      <c r="A117" s="1" t="s">
        <v>155</v>
      </c>
      <c r="B117" s="1" t="s">
        <v>32</v>
      </c>
      <c r="C117" s="1" t="s">
        <v>38</v>
      </c>
      <c r="D117">
        <v>5</v>
      </c>
      <c r="E117">
        <v>2</v>
      </c>
      <c r="F117">
        <v>1789</v>
      </c>
      <c r="G117">
        <v>865826</v>
      </c>
      <c r="H117">
        <v>857769</v>
      </c>
      <c r="I117" s="2">
        <v>44997</v>
      </c>
      <c r="J117" s="2">
        <v>45062</v>
      </c>
      <c r="K117">
        <v>65</v>
      </c>
      <c r="L117" s="1" t="s">
        <v>51</v>
      </c>
      <c r="M117" s="1" t="s">
        <v>28</v>
      </c>
      <c r="N117">
        <v>0.05</v>
      </c>
      <c r="O117">
        <v>42888.45</v>
      </c>
      <c r="P117">
        <v>-8057</v>
      </c>
      <c r="Q117" t="str">
        <f>IF(tbl_sales3[[#This Row],[Sale_Price]]&lt;500000,"Budget",
IF(tbl_sales3[[#This Row],[Sale_Price]]&lt;1000000,"Mid-Range",
"Luxury"))</f>
        <v>Mid-Range</v>
      </c>
      <c r="R117" s="4">
        <f>IFERROR(tbl_sales3[[#This Row],[Sale_Price]]*tbl_sales3[[#This Row],[Commission_Rate]],0)</f>
        <v>42888.450000000004</v>
      </c>
      <c r="S117" t="str">
        <f>IF(ABS(tbl_sales3[[#This Row],[Commission_Earned]]-tbl_sales3[[#This Row],[Calculated_Commission]])&lt;0.02,"Correct","Mismatch")</f>
        <v>Correct</v>
      </c>
      <c r="T117">
        <f>YEAR(tbl_sales3[[#This Row],[Sale_Date]])</f>
        <v>2023</v>
      </c>
      <c r="U117" s="1" t="str">
        <f>TEXT(tbl_sales3[[#This Row],[Sale_Date]],"mmmm")</f>
        <v>May</v>
      </c>
      <c r="V117" s="2">
        <f>EOMONTH(tbl_sales3[[#This Row],[Sale_Date]],0)</f>
        <v>45077</v>
      </c>
      <c r="W117" s="1" t="str">
        <f>IF(AND(tbl_sales3[[#This Row],[Sale_Price]]&gt;1000000,tbl_sales3[[#This Row],[Days_on_Market]]&lt;30),"High Demand","Normal")</f>
        <v>Normal</v>
      </c>
    </row>
    <row r="118" spans="1:23" x14ac:dyDescent="0.3">
      <c r="A118" s="1" t="s">
        <v>156</v>
      </c>
      <c r="B118" s="1" t="s">
        <v>17</v>
      </c>
      <c r="C118" s="1" t="s">
        <v>33</v>
      </c>
      <c r="D118">
        <v>5</v>
      </c>
      <c r="E118">
        <v>2</v>
      </c>
      <c r="F118">
        <v>2094</v>
      </c>
      <c r="G118">
        <v>385696</v>
      </c>
      <c r="H118">
        <v>366464</v>
      </c>
      <c r="I118" s="2">
        <v>45109</v>
      </c>
      <c r="J118" s="2">
        <v>45162</v>
      </c>
      <c r="K118">
        <v>53</v>
      </c>
      <c r="L118" s="1" t="s">
        <v>39</v>
      </c>
      <c r="M118" s="1" t="s">
        <v>24</v>
      </c>
      <c r="N118">
        <v>4.4999999999999998E-2</v>
      </c>
      <c r="O118">
        <v>16490.88</v>
      </c>
      <c r="P118">
        <v>-19232</v>
      </c>
      <c r="Q118" t="str">
        <f>IF(tbl_sales3[[#This Row],[Sale_Price]]&lt;500000,"Budget",
IF(tbl_sales3[[#This Row],[Sale_Price]]&lt;1000000,"Mid-Range",
"Luxury"))</f>
        <v>Budget</v>
      </c>
      <c r="R118" s="4">
        <f>IFERROR(tbl_sales3[[#This Row],[Sale_Price]]*tbl_sales3[[#This Row],[Commission_Rate]],0)</f>
        <v>16490.88</v>
      </c>
      <c r="S118" t="str">
        <f>IF(ABS(tbl_sales3[[#This Row],[Commission_Earned]]-tbl_sales3[[#This Row],[Calculated_Commission]])&lt;0.02,"Correct","Mismatch")</f>
        <v>Correct</v>
      </c>
      <c r="T118">
        <f>YEAR(tbl_sales3[[#This Row],[Sale_Date]])</f>
        <v>2023</v>
      </c>
      <c r="U118" s="1" t="str">
        <f>TEXT(tbl_sales3[[#This Row],[Sale_Date]],"mmmm")</f>
        <v>August</v>
      </c>
      <c r="V118" s="2">
        <f>EOMONTH(tbl_sales3[[#This Row],[Sale_Date]],0)</f>
        <v>45169</v>
      </c>
      <c r="W118" s="1" t="str">
        <f>IF(AND(tbl_sales3[[#This Row],[Sale_Price]]&gt;1000000,tbl_sales3[[#This Row],[Days_on_Market]]&lt;30),"High Demand","Normal")</f>
        <v>Normal</v>
      </c>
    </row>
    <row r="119" spans="1:23" x14ac:dyDescent="0.3">
      <c r="A119" s="1" t="s">
        <v>157</v>
      </c>
      <c r="B119" s="1" t="s">
        <v>41</v>
      </c>
      <c r="C119" s="1" t="s">
        <v>35</v>
      </c>
      <c r="D119">
        <v>3</v>
      </c>
      <c r="E119">
        <v>1</v>
      </c>
      <c r="F119">
        <v>2810</v>
      </c>
      <c r="G119">
        <v>1757828</v>
      </c>
      <c r="H119">
        <v>1730086</v>
      </c>
      <c r="I119" s="2">
        <v>45326</v>
      </c>
      <c r="J119" s="2">
        <v>45373</v>
      </c>
      <c r="K119">
        <v>47</v>
      </c>
      <c r="L119" s="1" t="s">
        <v>42</v>
      </c>
      <c r="M119" s="1" t="s">
        <v>28</v>
      </c>
      <c r="N119">
        <v>0.05</v>
      </c>
      <c r="O119">
        <v>86504.3</v>
      </c>
      <c r="P119">
        <v>-27742</v>
      </c>
      <c r="Q119" t="str">
        <f>IF(tbl_sales3[[#This Row],[Sale_Price]]&lt;500000,"Budget",
IF(tbl_sales3[[#This Row],[Sale_Price]]&lt;1000000,"Mid-Range",
"Luxury"))</f>
        <v>Luxury</v>
      </c>
      <c r="R119" s="4">
        <f>IFERROR(tbl_sales3[[#This Row],[Sale_Price]]*tbl_sales3[[#This Row],[Commission_Rate]],0)</f>
        <v>86504.3</v>
      </c>
      <c r="S119" t="str">
        <f>IF(ABS(tbl_sales3[[#This Row],[Commission_Earned]]-tbl_sales3[[#This Row],[Calculated_Commission]])&lt;0.02,"Correct","Mismatch")</f>
        <v>Correct</v>
      </c>
      <c r="T119">
        <f>YEAR(tbl_sales3[[#This Row],[Sale_Date]])</f>
        <v>2024</v>
      </c>
      <c r="U119" s="1" t="str">
        <f>TEXT(tbl_sales3[[#This Row],[Sale_Date]],"mmmm")</f>
        <v>March</v>
      </c>
      <c r="V119" s="2">
        <f>EOMONTH(tbl_sales3[[#This Row],[Sale_Date]],0)</f>
        <v>45382</v>
      </c>
      <c r="W119" s="1" t="str">
        <f>IF(AND(tbl_sales3[[#This Row],[Sale_Price]]&gt;1000000,tbl_sales3[[#This Row],[Days_on_Market]]&lt;30),"High Demand","Normal")</f>
        <v>Normal</v>
      </c>
    </row>
    <row r="120" spans="1:23" x14ac:dyDescent="0.3">
      <c r="A120" s="1" t="s">
        <v>158</v>
      </c>
      <c r="B120" s="1" t="s">
        <v>32</v>
      </c>
      <c r="C120" s="1" t="s">
        <v>38</v>
      </c>
      <c r="D120">
        <v>4</v>
      </c>
      <c r="E120">
        <v>2</v>
      </c>
      <c r="F120">
        <v>3327</v>
      </c>
      <c r="G120">
        <v>510263</v>
      </c>
      <c r="H120">
        <v>487859</v>
      </c>
      <c r="I120" s="2">
        <v>45137</v>
      </c>
      <c r="J120" s="2">
        <v>45161</v>
      </c>
      <c r="K120">
        <v>24</v>
      </c>
      <c r="L120" s="1" t="s">
        <v>27</v>
      </c>
      <c r="M120" s="1" t="s">
        <v>28</v>
      </c>
      <c r="N120">
        <v>4.4999999999999998E-2</v>
      </c>
      <c r="O120">
        <v>21953.65</v>
      </c>
      <c r="P120">
        <v>-22404</v>
      </c>
      <c r="Q120" t="str">
        <f>IF(tbl_sales3[[#This Row],[Sale_Price]]&lt;500000,"Budget",
IF(tbl_sales3[[#This Row],[Sale_Price]]&lt;1000000,"Mid-Range",
"Luxury"))</f>
        <v>Budget</v>
      </c>
      <c r="R120" s="4">
        <f>IFERROR(tbl_sales3[[#This Row],[Sale_Price]]*tbl_sales3[[#This Row],[Commission_Rate]],0)</f>
        <v>21953.654999999999</v>
      </c>
      <c r="S120" t="str">
        <f>IF(ABS(tbl_sales3[[#This Row],[Commission_Earned]]-tbl_sales3[[#This Row],[Calculated_Commission]])&lt;0.02,"Correct","Mismatch")</f>
        <v>Correct</v>
      </c>
      <c r="T120">
        <f>YEAR(tbl_sales3[[#This Row],[Sale_Date]])</f>
        <v>2023</v>
      </c>
      <c r="U120" s="1" t="str">
        <f>TEXT(tbl_sales3[[#This Row],[Sale_Date]],"mmmm")</f>
        <v>August</v>
      </c>
      <c r="V120" s="2">
        <f>EOMONTH(tbl_sales3[[#This Row],[Sale_Date]],0)</f>
        <v>45169</v>
      </c>
      <c r="W120" s="1" t="str">
        <f>IF(AND(tbl_sales3[[#This Row],[Sale_Price]]&gt;1000000,tbl_sales3[[#This Row],[Days_on_Market]]&lt;30),"High Demand","Normal")</f>
        <v>Normal</v>
      </c>
    </row>
    <row r="121" spans="1:23" x14ac:dyDescent="0.3">
      <c r="A121" s="1" t="s">
        <v>159</v>
      </c>
      <c r="B121" s="1" t="s">
        <v>22</v>
      </c>
      <c r="C121" s="1" t="s">
        <v>38</v>
      </c>
      <c r="D121">
        <v>5</v>
      </c>
      <c r="E121">
        <v>4</v>
      </c>
      <c r="F121">
        <v>2812</v>
      </c>
      <c r="G121">
        <v>637091</v>
      </c>
      <c r="H121">
        <v>610001</v>
      </c>
      <c r="I121" s="2">
        <v>45579</v>
      </c>
      <c r="J121" s="2">
        <v>45646</v>
      </c>
      <c r="K121">
        <v>67</v>
      </c>
      <c r="L121" s="1" t="s">
        <v>19</v>
      </c>
      <c r="M121" s="1" t="s">
        <v>24</v>
      </c>
      <c r="N121">
        <v>0.04</v>
      </c>
      <c r="O121">
        <v>24400.04</v>
      </c>
      <c r="P121">
        <v>-27090</v>
      </c>
      <c r="Q121" t="str">
        <f>IF(tbl_sales3[[#This Row],[Sale_Price]]&lt;500000,"Budget",
IF(tbl_sales3[[#This Row],[Sale_Price]]&lt;1000000,"Mid-Range",
"Luxury"))</f>
        <v>Mid-Range</v>
      </c>
      <c r="R121" s="4">
        <f>IFERROR(tbl_sales3[[#This Row],[Sale_Price]]*tbl_sales3[[#This Row],[Commission_Rate]],0)</f>
        <v>24400.04</v>
      </c>
      <c r="S121" t="str">
        <f>IF(ABS(tbl_sales3[[#This Row],[Commission_Earned]]-tbl_sales3[[#This Row],[Calculated_Commission]])&lt;0.02,"Correct","Mismatch")</f>
        <v>Correct</v>
      </c>
      <c r="T121">
        <f>YEAR(tbl_sales3[[#This Row],[Sale_Date]])</f>
        <v>2024</v>
      </c>
      <c r="U121" s="1" t="str">
        <f>TEXT(tbl_sales3[[#This Row],[Sale_Date]],"mmmm")</f>
        <v>December</v>
      </c>
      <c r="V121" s="2">
        <f>EOMONTH(tbl_sales3[[#This Row],[Sale_Date]],0)</f>
        <v>45657</v>
      </c>
      <c r="W121" s="1" t="str">
        <f>IF(AND(tbl_sales3[[#This Row],[Sale_Price]]&gt;1000000,tbl_sales3[[#This Row],[Days_on_Market]]&lt;30),"High Demand","Normal")</f>
        <v>Normal</v>
      </c>
    </row>
    <row r="122" spans="1:23" x14ac:dyDescent="0.3">
      <c r="A122" s="1" t="s">
        <v>160</v>
      </c>
      <c r="B122" s="1" t="s">
        <v>17</v>
      </c>
      <c r="C122" s="1" t="s">
        <v>23</v>
      </c>
      <c r="D122">
        <v>4</v>
      </c>
      <c r="E122">
        <v>4</v>
      </c>
      <c r="F122">
        <v>1111</v>
      </c>
      <c r="G122">
        <v>915660</v>
      </c>
      <c r="H122">
        <v>852925</v>
      </c>
      <c r="I122" s="2">
        <v>45511</v>
      </c>
      <c r="J122" s="2">
        <v>45568</v>
      </c>
      <c r="K122">
        <v>57</v>
      </c>
      <c r="L122" s="1" t="s">
        <v>51</v>
      </c>
      <c r="M122" s="1" t="s">
        <v>28</v>
      </c>
      <c r="N122">
        <v>0.04</v>
      </c>
      <c r="O122">
        <v>34117</v>
      </c>
      <c r="P122">
        <v>-62735</v>
      </c>
      <c r="Q122" t="str">
        <f>IF(tbl_sales3[[#This Row],[Sale_Price]]&lt;500000,"Budget",
IF(tbl_sales3[[#This Row],[Sale_Price]]&lt;1000000,"Mid-Range",
"Luxury"))</f>
        <v>Mid-Range</v>
      </c>
      <c r="R122" s="4">
        <f>IFERROR(tbl_sales3[[#This Row],[Sale_Price]]*tbl_sales3[[#This Row],[Commission_Rate]],0)</f>
        <v>34117</v>
      </c>
      <c r="S122" t="str">
        <f>IF(ABS(tbl_sales3[[#This Row],[Commission_Earned]]-tbl_sales3[[#This Row],[Calculated_Commission]])&lt;0.02,"Correct","Mismatch")</f>
        <v>Correct</v>
      </c>
      <c r="T122">
        <f>YEAR(tbl_sales3[[#This Row],[Sale_Date]])</f>
        <v>2024</v>
      </c>
      <c r="U122" s="1" t="str">
        <f>TEXT(tbl_sales3[[#This Row],[Sale_Date]],"mmmm")</f>
        <v>October</v>
      </c>
      <c r="V122" s="2">
        <f>EOMONTH(tbl_sales3[[#This Row],[Sale_Date]],0)</f>
        <v>45596</v>
      </c>
      <c r="W122" s="1" t="str">
        <f>IF(AND(tbl_sales3[[#This Row],[Sale_Price]]&gt;1000000,tbl_sales3[[#This Row],[Days_on_Market]]&lt;30),"High Demand","Normal")</f>
        <v>Normal</v>
      </c>
    </row>
    <row r="123" spans="1:23" x14ac:dyDescent="0.3">
      <c r="A123" s="1" t="s">
        <v>161</v>
      </c>
      <c r="B123" s="1" t="s">
        <v>17</v>
      </c>
      <c r="C123" s="1" t="s">
        <v>23</v>
      </c>
      <c r="D123">
        <v>3</v>
      </c>
      <c r="E123">
        <v>3</v>
      </c>
      <c r="F123">
        <v>1935</v>
      </c>
      <c r="G123">
        <v>1745257</v>
      </c>
      <c r="H123">
        <v>1736622</v>
      </c>
      <c r="I123" s="2">
        <v>45466</v>
      </c>
      <c r="J123" s="2">
        <v>45520</v>
      </c>
      <c r="K123">
        <v>54</v>
      </c>
      <c r="L123" s="1" t="s">
        <v>42</v>
      </c>
      <c r="M123" s="1" t="s">
        <v>20</v>
      </c>
      <c r="N123">
        <v>0.04</v>
      </c>
      <c r="O123">
        <v>69464.88</v>
      </c>
      <c r="P123">
        <v>-8635</v>
      </c>
      <c r="Q123" t="str">
        <f>IF(tbl_sales3[[#This Row],[Sale_Price]]&lt;500000,"Budget",
IF(tbl_sales3[[#This Row],[Sale_Price]]&lt;1000000,"Mid-Range",
"Luxury"))</f>
        <v>Luxury</v>
      </c>
      <c r="R123" s="4">
        <f>IFERROR(tbl_sales3[[#This Row],[Sale_Price]]*tbl_sales3[[#This Row],[Commission_Rate]],0)</f>
        <v>69464.88</v>
      </c>
      <c r="S123" t="str">
        <f>IF(ABS(tbl_sales3[[#This Row],[Commission_Earned]]-tbl_sales3[[#This Row],[Calculated_Commission]])&lt;0.02,"Correct","Mismatch")</f>
        <v>Correct</v>
      </c>
      <c r="T123">
        <f>YEAR(tbl_sales3[[#This Row],[Sale_Date]])</f>
        <v>2024</v>
      </c>
      <c r="U123" s="1" t="str">
        <f>TEXT(tbl_sales3[[#This Row],[Sale_Date]],"mmmm")</f>
        <v>August</v>
      </c>
      <c r="V123" s="2">
        <f>EOMONTH(tbl_sales3[[#This Row],[Sale_Date]],0)</f>
        <v>45535</v>
      </c>
      <c r="W123" s="1" t="str">
        <f>IF(AND(tbl_sales3[[#This Row],[Sale_Price]]&gt;1000000,tbl_sales3[[#This Row],[Days_on_Market]]&lt;30),"High Demand","Normal")</f>
        <v>Normal</v>
      </c>
    </row>
    <row r="124" spans="1:23" x14ac:dyDescent="0.3">
      <c r="A124" s="1" t="s">
        <v>162</v>
      </c>
      <c r="B124" s="1" t="s">
        <v>59</v>
      </c>
      <c r="C124" s="1" t="s">
        <v>23</v>
      </c>
      <c r="D124">
        <v>5</v>
      </c>
      <c r="E124">
        <v>1</v>
      </c>
      <c r="F124">
        <v>3040</v>
      </c>
      <c r="G124">
        <v>1340297</v>
      </c>
      <c r="H124">
        <v>1293380</v>
      </c>
      <c r="I124" s="2">
        <v>45025</v>
      </c>
      <c r="J124" s="2">
        <v>45035</v>
      </c>
      <c r="K124">
        <v>10</v>
      </c>
      <c r="L124" s="1" t="s">
        <v>27</v>
      </c>
      <c r="M124" s="1" t="s">
        <v>24</v>
      </c>
      <c r="N124">
        <v>0.05</v>
      </c>
      <c r="O124">
        <v>64669</v>
      </c>
      <c r="P124">
        <v>-46917</v>
      </c>
      <c r="Q124" t="str">
        <f>IF(tbl_sales3[[#This Row],[Sale_Price]]&lt;500000,"Budget",
IF(tbl_sales3[[#This Row],[Sale_Price]]&lt;1000000,"Mid-Range",
"Luxury"))</f>
        <v>Luxury</v>
      </c>
      <c r="R124" s="4">
        <f>IFERROR(tbl_sales3[[#This Row],[Sale_Price]]*tbl_sales3[[#This Row],[Commission_Rate]],0)</f>
        <v>64669</v>
      </c>
      <c r="S124" t="str">
        <f>IF(ABS(tbl_sales3[[#This Row],[Commission_Earned]]-tbl_sales3[[#This Row],[Calculated_Commission]])&lt;0.02,"Correct","Mismatch")</f>
        <v>Correct</v>
      </c>
      <c r="T124">
        <f>YEAR(tbl_sales3[[#This Row],[Sale_Date]])</f>
        <v>2023</v>
      </c>
      <c r="U124" s="1" t="str">
        <f>TEXT(tbl_sales3[[#This Row],[Sale_Date]],"mmmm")</f>
        <v>April</v>
      </c>
      <c r="V124" s="2">
        <f>EOMONTH(tbl_sales3[[#This Row],[Sale_Date]],0)</f>
        <v>45046</v>
      </c>
      <c r="W124" s="1" t="str">
        <f>IF(AND(tbl_sales3[[#This Row],[Sale_Price]]&gt;1000000,tbl_sales3[[#This Row],[Days_on_Market]]&lt;30),"High Demand","Normal")</f>
        <v>High Demand</v>
      </c>
    </row>
    <row r="125" spans="1:23" x14ac:dyDescent="0.3">
      <c r="A125" s="1" t="s">
        <v>163</v>
      </c>
      <c r="B125" s="1" t="s">
        <v>41</v>
      </c>
      <c r="C125" s="1" t="s">
        <v>38</v>
      </c>
      <c r="D125">
        <v>4</v>
      </c>
      <c r="E125">
        <v>3</v>
      </c>
      <c r="F125">
        <v>1815</v>
      </c>
      <c r="G125">
        <v>397165</v>
      </c>
      <c r="H125">
        <v>361451</v>
      </c>
      <c r="I125" s="2">
        <v>45268</v>
      </c>
      <c r="J125" s="2">
        <v>45299</v>
      </c>
      <c r="K125">
        <v>31</v>
      </c>
      <c r="L125" s="1" t="s">
        <v>51</v>
      </c>
      <c r="M125" s="1" t="s">
        <v>20</v>
      </c>
      <c r="N125">
        <v>0.05</v>
      </c>
      <c r="O125">
        <v>18072.55</v>
      </c>
      <c r="P125">
        <v>-35714</v>
      </c>
      <c r="Q125" t="str">
        <f>IF(tbl_sales3[[#This Row],[Sale_Price]]&lt;500000,"Budget",
IF(tbl_sales3[[#This Row],[Sale_Price]]&lt;1000000,"Mid-Range",
"Luxury"))</f>
        <v>Budget</v>
      </c>
      <c r="R125" s="4">
        <f>IFERROR(tbl_sales3[[#This Row],[Sale_Price]]*tbl_sales3[[#This Row],[Commission_Rate]],0)</f>
        <v>18072.55</v>
      </c>
      <c r="S125" t="str">
        <f>IF(ABS(tbl_sales3[[#This Row],[Commission_Earned]]-tbl_sales3[[#This Row],[Calculated_Commission]])&lt;0.02,"Correct","Mismatch")</f>
        <v>Correct</v>
      </c>
      <c r="T125">
        <f>YEAR(tbl_sales3[[#This Row],[Sale_Date]])</f>
        <v>2024</v>
      </c>
      <c r="U125" s="1" t="str">
        <f>TEXT(tbl_sales3[[#This Row],[Sale_Date]],"mmmm")</f>
        <v>January</v>
      </c>
      <c r="V125" s="2">
        <f>EOMONTH(tbl_sales3[[#This Row],[Sale_Date]],0)</f>
        <v>45322</v>
      </c>
      <c r="W125" s="1" t="str">
        <f>IF(AND(tbl_sales3[[#This Row],[Sale_Price]]&gt;1000000,tbl_sales3[[#This Row],[Days_on_Market]]&lt;30),"High Demand","Normal")</f>
        <v>Normal</v>
      </c>
    </row>
    <row r="126" spans="1:23" x14ac:dyDescent="0.3">
      <c r="A126" s="1" t="s">
        <v>164</v>
      </c>
      <c r="B126" s="1" t="s">
        <v>26</v>
      </c>
      <c r="C126" s="1" t="s">
        <v>23</v>
      </c>
      <c r="D126">
        <v>5</v>
      </c>
      <c r="E126">
        <v>1</v>
      </c>
      <c r="F126">
        <v>2149</v>
      </c>
      <c r="G126">
        <v>1792597</v>
      </c>
      <c r="H126">
        <v>1769882</v>
      </c>
      <c r="I126" s="2">
        <v>45607</v>
      </c>
      <c r="J126" s="2">
        <v>45648</v>
      </c>
      <c r="K126">
        <v>41</v>
      </c>
      <c r="L126" s="1" t="s">
        <v>51</v>
      </c>
      <c r="M126" s="1" t="s">
        <v>28</v>
      </c>
      <c r="N126">
        <v>0.05</v>
      </c>
      <c r="O126">
        <v>88494.1</v>
      </c>
      <c r="P126">
        <v>-22715</v>
      </c>
      <c r="Q126" t="str">
        <f>IF(tbl_sales3[[#This Row],[Sale_Price]]&lt;500000,"Budget",
IF(tbl_sales3[[#This Row],[Sale_Price]]&lt;1000000,"Mid-Range",
"Luxury"))</f>
        <v>Luxury</v>
      </c>
      <c r="R126" s="4">
        <f>IFERROR(tbl_sales3[[#This Row],[Sale_Price]]*tbl_sales3[[#This Row],[Commission_Rate]],0)</f>
        <v>88494.1</v>
      </c>
      <c r="S126" t="str">
        <f>IF(ABS(tbl_sales3[[#This Row],[Commission_Earned]]-tbl_sales3[[#This Row],[Calculated_Commission]])&lt;0.02,"Correct","Mismatch")</f>
        <v>Correct</v>
      </c>
      <c r="T126">
        <f>YEAR(tbl_sales3[[#This Row],[Sale_Date]])</f>
        <v>2024</v>
      </c>
      <c r="U126" s="1" t="str">
        <f>TEXT(tbl_sales3[[#This Row],[Sale_Date]],"mmmm")</f>
        <v>December</v>
      </c>
      <c r="V126" s="2">
        <f>EOMONTH(tbl_sales3[[#This Row],[Sale_Date]],0)</f>
        <v>45657</v>
      </c>
      <c r="W126" s="1" t="str">
        <f>IF(AND(tbl_sales3[[#This Row],[Sale_Price]]&gt;1000000,tbl_sales3[[#This Row],[Days_on_Market]]&lt;30),"High Demand","Normal")</f>
        <v>Normal</v>
      </c>
    </row>
    <row r="127" spans="1:23" x14ac:dyDescent="0.3">
      <c r="A127" s="1" t="s">
        <v>165</v>
      </c>
      <c r="B127" s="1" t="s">
        <v>26</v>
      </c>
      <c r="C127" s="1" t="s">
        <v>38</v>
      </c>
      <c r="D127">
        <v>2</v>
      </c>
      <c r="E127">
        <v>3</v>
      </c>
      <c r="F127">
        <v>1082</v>
      </c>
      <c r="G127">
        <v>1743828</v>
      </c>
      <c r="H127">
        <v>1736428</v>
      </c>
      <c r="I127" s="2">
        <v>45453</v>
      </c>
      <c r="J127" s="2">
        <v>45487</v>
      </c>
      <c r="K127">
        <v>34</v>
      </c>
      <c r="L127" s="1" t="s">
        <v>30</v>
      </c>
      <c r="M127" s="1" t="s">
        <v>24</v>
      </c>
      <c r="N127">
        <v>0.05</v>
      </c>
      <c r="O127">
        <v>86821.4</v>
      </c>
      <c r="P127">
        <v>-7400</v>
      </c>
      <c r="Q127" t="str">
        <f>IF(tbl_sales3[[#This Row],[Sale_Price]]&lt;500000,"Budget",
IF(tbl_sales3[[#This Row],[Sale_Price]]&lt;1000000,"Mid-Range",
"Luxury"))</f>
        <v>Luxury</v>
      </c>
      <c r="R127" s="4">
        <f>IFERROR(tbl_sales3[[#This Row],[Sale_Price]]*tbl_sales3[[#This Row],[Commission_Rate]],0)</f>
        <v>86821.400000000009</v>
      </c>
      <c r="S127" t="str">
        <f>IF(ABS(tbl_sales3[[#This Row],[Commission_Earned]]-tbl_sales3[[#This Row],[Calculated_Commission]])&lt;0.02,"Correct","Mismatch")</f>
        <v>Correct</v>
      </c>
      <c r="T127">
        <f>YEAR(tbl_sales3[[#This Row],[Sale_Date]])</f>
        <v>2024</v>
      </c>
      <c r="U127" s="1" t="str">
        <f>TEXT(tbl_sales3[[#This Row],[Sale_Date]],"mmmm")</f>
        <v>July</v>
      </c>
      <c r="V127" s="2">
        <f>EOMONTH(tbl_sales3[[#This Row],[Sale_Date]],0)</f>
        <v>45504</v>
      </c>
      <c r="W127" s="1" t="str">
        <f>IF(AND(tbl_sales3[[#This Row],[Sale_Price]]&gt;1000000,tbl_sales3[[#This Row],[Days_on_Market]]&lt;30),"High Demand","Normal")</f>
        <v>Normal</v>
      </c>
    </row>
    <row r="128" spans="1:23" x14ac:dyDescent="0.3">
      <c r="A128" s="1" t="s">
        <v>166</v>
      </c>
      <c r="B128" s="1" t="s">
        <v>48</v>
      </c>
      <c r="C128" s="1" t="s">
        <v>35</v>
      </c>
      <c r="D128">
        <v>4</v>
      </c>
      <c r="E128">
        <v>4</v>
      </c>
      <c r="F128">
        <v>3102</v>
      </c>
      <c r="G128">
        <v>1743279</v>
      </c>
      <c r="H128">
        <v>1693393</v>
      </c>
      <c r="I128" s="2">
        <v>45546</v>
      </c>
      <c r="J128" s="2">
        <v>45625</v>
      </c>
      <c r="K128">
        <v>79</v>
      </c>
      <c r="L128" s="1" t="s">
        <v>51</v>
      </c>
      <c r="M128" s="1" t="s">
        <v>20</v>
      </c>
      <c r="N128">
        <v>0.04</v>
      </c>
      <c r="O128">
        <v>67735.72</v>
      </c>
      <c r="P128">
        <v>-49886</v>
      </c>
      <c r="Q128" t="str">
        <f>IF(tbl_sales3[[#This Row],[Sale_Price]]&lt;500000,"Budget",
IF(tbl_sales3[[#This Row],[Sale_Price]]&lt;1000000,"Mid-Range",
"Luxury"))</f>
        <v>Luxury</v>
      </c>
      <c r="R128" s="4">
        <f>IFERROR(tbl_sales3[[#This Row],[Sale_Price]]*tbl_sales3[[#This Row],[Commission_Rate]],0)</f>
        <v>67735.72</v>
      </c>
      <c r="S128" t="str">
        <f>IF(ABS(tbl_sales3[[#This Row],[Commission_Earned]]-tbl_sales3[[#This Row],[Calculated_Commission]])&lt;0.02,"Correct","Mismatch")</f>
        <v>Correct</v>
      </c>
      <c r="T128">
        <f>YEAR(tbl_sales3[[#This Row],[Sale_Date]])</f>
        <v>2024</v>
      </c>
      <c r="U128" s="1" t="str">
        <f>TEXT(tbl_sales3[[#This Row],[Sale_Date]],"mmmm")</f>
        <v>November</v>
      </c>
      <c r="V128" s="2">
        <f>EOMONTH(tbl_sales3[[#This Row],[Sale_Date]],0)</f>
        <v>45626</v>
      </c>
      <c r="W128" s="1" t="str">
        <f>IF(AND(tbl_sales3[[#This Row],[Sale_Price]]&gt;1000000,tbl_sales3[[#This Row],[Days_on_Market]]&lt;30),"High Demand","Normal")</f>
        <v>Normal</v>
      </c>
    </row>
    <row r="129" spans="1:23" x14ac:dyDescent="0.3">
      <c r="A129" s="1" t="s">
        <v>167</v>
      </c>
      <c r="B129" s="1" t="s">
        <v>48</v>
      </c>
      <c r="C129" s="1" t="s">
        <v>23</v>
      </c>
      <c r="D129">
        <v>4</v>
      </c>
      <c r="E129">
        <v>2</v>
      </c>
      <c r="F129">
        <v>2018</v>
      </c>
      <c r="G129">
        <v>923925</v>
      </c>
      <c r="H129">
        <v>880524</v>
      </c>
      <c r="I129" s="2">
        <v>45299</v>
      </c>
      <c r="J129" s="2">
        <v>45334</v>
      </c>
      <c r="K129">
        <v>35</v>
      </c>
      <c r="L129" s="1" t="s">
        <v>51</v>
      </c>
      <c r="M129" s="1" t="s">
        <v>28</v>
      </c>
      <c r="N129">
        <v>4.4999999999999998E-2</v>
      </c>
      <c r="O129">
        <v>39623.58</v>
      </c>
      <c r="P129">
        <v>-43401</v>
      </c>
      <c r="Q129" t="str">
        <f>IF(tbl_sales3[[#This Row],[Sale_Price]]&lt;500000,"Budget",
IF(tbl_sales3[[#This Row],[Sale_Price]]&lt;1000000,"Mid-Range",
"Luxury"))</f>
        <v>Mid-Range</v>
      </c>
      <c r="R129" s="4">
        <f>IFERROR(tbl_sales3[[#This Row],[Sale_Price]]*tbl_sales3[[#This Row],[Commission_Rate]],0)</f>
        <v>39623.58</v>
      </c>
      <c r="S129" t="str">
        <f>IF(ABS(tbl_sales3[[#This Row],[Commission_Earned]]-tbl_sales3[[#This Row],[Calculated_Commission]])&lt;0.02,"Correct","Mismatch")</f>
        <v>Correct</v>
      </c>
      <c r="T129">
        <f>YEAR(tbl_sales3[[#This Row],[Sale_Date]])</f>
        <v>2024</v>
      </c>
      <c r="U129" s="1" t="str">
        <f>TEXT(tbl_sales3[[#This Row],[Sale_Date]],"mmmm")</f>
        <v>February</v>
      </c>
      <c r="V129" s="2">
        <f>EOMONTH(tbl_sales3[[#This Row],[Sale_Date]],0)</f>
        <v>45351</v>
      </c>
      <c r="W129" s="1" t="str">
        <f>IF(AND(tbl_sales3[[#This Row],[Sale_Price]]&gt;1000000,tbl_sales3[[#This Row],[Days_on_Market]]&lt;30),"High Demand","Normal")</f>
        <v>Normal</v>
      </c>
    </row>
    <row r="130" spans="1:23" x14ac:dyDescent="0.3">
      <c r="A130" s="1" t="s">
        <v>168</v>
      </c>
      <c r="B130" s="1" t="s">
        <v>37</v>
      </c>
      <c r="C130" s="1" t="s">
        <v>23</v>
      </c>
      <c r="D130">
        <v>2</v>
      </c>
      <c r="E130">
        <v>2</v>
      </c>
      <c r="F130">
        <v>926</v>
      </c>
      <c r="G130">
        <v>771771</v>
      </c>
      <c r="H130">
        <v>701714</v>
      </c>
      <c r="I130" s="2">
        <v>45084</v>
      </c>
      <c r="J130" s="2">
        <v>45128</v>
      </c>
      <c r="K130">
        <v>44</v>
      </c>
      <c r="L130" s="1" t="s">
        <v>53</v>
      </c>
      <c r="M130" s="1" t="s">
        <v>20</v>
      </c>
      <c r="N130">
        <v>0.05</v>
      </c>
      <c r="O130">
        <v>35085.699999999997</v>
      </c>
      <c r="P130">
        <v>-70057</v>
      </c>
      <c r="Q130" t="str">
        <f>IF(tbl_sales3[[#This Row],[Sale_Price]]&lt;500000,"Budget",
IF(tbl_sales3[[#This Row],[Sale_Price]]&lt;1000000,"Mid-Range",
"Luxury"))</f>
        <v>Mid-Range</v>
      </c>
      <c r="R130" s="4">
        <f>IFERROR(tbl_sales3[[#This Row],[Sale_Price]]*tbl_sales3[[#This Row],[Commission_Rate]],0)</f>
        <v>35085.700000000004</v>
      </c>
      <c r="S130" t="str">
        <f>IF(ABS(tbl_sales3[[#This Row],[Commission_Earned]]-tbl_sales3[[#This Row],[Calculated_Commission]])&lt;0.02,"Correct","Mismatch")</f>
        <v>Correct</v>
      </c>
      <c r="T130">
        <f>YEAR(tbl_sales3[[#This Row],[Sale_Date]])</f>
        <v>2023</v>
      </c>
      <c r="U130" s="1" t="str">
        <f>TEXT(tbl_sales3[[#This Row],[Sale_Date]],"mmmm")</f>
        <v>July</v>
      </c>
      <c r="V130" s="2">
        <f>EOMONTH(tbl_sales3[[#This Row],[Sale_Date]],0)</f>
        <v>45138</v>
      </c>
      <c r="W130" s="1" t="str">
        <f>IF(AND(tbl_sales3[[#This Row],[Sale_Price]]&gt;1000000,tbl_sales3[[#This Row],[Days_on_Market]]&lt;30),"High Demand","Normal")</f>
        <v>Normal</v>
      </c>
    </row>
    <row r="131" spans="1:23" x14ac:dyDescent="0.3">
      <c r="A131" s="1" t="s">
        <v>169</v>
      </c>
      <c r="B131" s="1" t="s">
        <v>22</v>
      </c>
      <c r="C131" s="1" t="s">
        <v>33</v>
      </c>
      <c r="D131">
        <v>2</v>
      </c>
      <c r="E131">
        <v>1</v>
      </c>
      <c r="F131">
        <v>3088</v>
      </c>
      <c r="G131">
        <v>1777036</v>
      </c>
      <c r="H131">
        <v>1758370</v>
      </c>
      <c r="I131" s="2">
        <v>45288</v>
      </c>
      <c r="J131" s="2">
        <v>45375</v>
      </c>
      <c r="K131">
        <v>87</v>
      </c>
      <c r="L131" s="1" t="s">
        <v>51</v>
      </c>
      <c r="M131" s="1" t="s">
        <v>24</v>
      </c>
      <c r="N131">
        <v>0.04</v>
      </c>
      <c r="O131">
        <v>70334.8</v>
      </c>
      <c r="P131">
        <v>-18666</v>
      </c>
      <c r="Q131" t="str">
        <f>IF(tbl_sales3[[#This Row],[Sale_Price]]&lt;500000,"Budget",
IF(tbl_sales3[[#This Row],[Sale_Price]]&lt;1000000,"Mid-Range",
"Luxury"))</f>
        <v>Luxury</v>
      </c>
      <c r="R131" s="4">
        <f>IFERROR(tbl_sales3[[#This Row],[Sale_Price]]*tbl_sales3[[#This Row],[Commission_Rate]],0)</f>
        <v>70334.8</v>
      </c>
      <c r="S131" t="str">
        <f>IF(ABS(tbl_sales3[[#This Row],[Commission_Earned]]-tbl_sales3[[#This Row],[Calculated_Commission]])&lt;0.02,"Correct","Mismatch")</f>
        <v>Correct</v>
      </c>
      <c r="T131">
        <f>YEAR(tbl_sales3[[#This Row],[Sale_Date]])</f>
        <v>2024</v>
      </c>
      <c r="U131" s="1" t="str">
        <f>TEXT(tbl_sales3[[#This Row],[Sale_Date]],"mmmm")</f>
        <v>March</v>
      </c>
      <c r="V131" s="2">
        <f>EOMONTH(tbl_sales3[[#This Row],[Sale_Date]],0)</f>
        <v>45382</v>
      </c>
      <c r="W131" s="1" t="str">
        <f>IF(AND(tbl_sales3[[#This Row],[Sale_Price]]&gt;1000000,tbl_sales3[[#This Row],[Days_on_Market]]&lt;30),"High Demand","Normal")</f>
        <v>Normal</v>
      </c>
    </row>
    <row r="132" spans="1:23" x14ac:dyDescent="0.3">
      <c r="A132" s="1" t="s">
        <v>170</v>
      </c>
      <c r="B132" s="1" t="s">
        <v>32</v>
      </c>
      <c r="C132" s="1" t="s">
        <v>33</v>
      </c>
      <c r="D132">
        <v>1</v>
      </c>
      <c r="E132">
        <v>1</v>
      </c>
      <c r="F132">
        <v>694</v>
      </c>
      <c r="G132">
        <v>1088771</v>
      </c>
      <c r="H132">
        <v>1073784</v>
      </c>
      <c r="I132" s="2">
        <v>45240</v>
      </c>
      <c r="J132" s="2">
        <v>45282</v>
      </c>
      <c r="K132">
        <v>42</v>
      </c>
      <c r="L132" s="1" t="s">
        <v>51</v>
      </c>
      <c r="M132" s="1" t="s">
        <v>28</v>
      </c>
      <c r="N132">
        <v>0.04</v>
      </c>
      <c r="O132">
        <v>42951.360000000001</v>
      </c>
      <c r="P132">
        <v>-14987</v>
      </c>
      <c r="Q132" t="str">
        <f>IF(tbl_sales3[[#This Row],[Sale_Price]]&lt;500000,"Budget",
IF(tbl_sales3[[#This Row],[Sale_Price]]&lt;1000000,"Mid-Range",
"Luxury"))</f>
        <v>Luxury</v>
      </c>
      <c r="R132" s="4">
        <f>IFERROR(tbl_sales3[[#This Row],[Sale_Price]]*tbl_sales3[[#This Row],[Commission_Rate]],0)</f>
        <v>42951.360000000001</v>
      </c>
      <c r="S132" t="str">
        <f>IF(ABS(tbl_sales3[[#This Row],[Commission_Earned]]-tbl_sales3[[#This Row],[Calculated_Commission]])&lt;0.02,"Correct","Mismatch")</f>
        <v>Correct</v>
      </c>
      <c r="T132">
        <f>YEAR(tbl_sales3[[#This Row],[Sale_Date]])</f>
        <v>2023</v>
      </c>
      <c r="U132" s="1" t="str">
        <f>TEXT(tbl_sales3[[#This Row],[Sale_Date]],"mmmm")</f>
        <v>December</v>
      </c>
      <c r="V132" s="2">
        <f>EOMONTH(tbl_sales3[[#This Row],[Sale_Date]],0)</f>
        <v>45291</v>
      </c>
      <c r="W132" s="1" t="str">
        <f>IF(AND(tbl_sales3[[#This Row],[Sale_Price]]&gt;1000000,tbl_sales3[[#This Row],[Days_on_Market]]&lt;30),"High Demand","Normal")</f>
        <v>Normal</v>
      </c>
    </row>
    <row r="133" spans="1:23" x14ac:dyDescent="0.3">
      <c r="A133" s="1" t="s">
        <v>171</v>
      </c>
      <c r="B133" s="1" t="s">
        <v>59</v>
      </c>
      <c r="C133" s="1" t="s">
        <v>33</v>
      </c>
      <c r="D133">
        <v>1</v>
      </c>
      <c r="E133">
        <v>2</v>
      </c>
      <c r="F133">
        <v>1760</v>
      </c>
      <c r="G133">
        <v>422943</v>
      </c>
      <c r="H133">
        <v>419774</v>
      </c>
      <c r="I133" s="2">
        <v>45112</v>
      </c>
      <c r="J133" s="2">
        <v>45168</v>
      </c>
      <c r="K133">
        <v>56</v>
      </c>
      <c r="L133" s="1" t="s">
        <v>39</v>
      </c>
      <c r="M133" s="1" t="s">
        <v>20</v>
      </c>
      <c r="N133">
        <v>0.04</v>
      </c>
      <c r="O133">
        <v>16790.96</v>
      </c>
      <c r="P133">
        <v>-3169</v>
      </c>
      <c r="Q133" t="str">
        <f>IF(tbl_sales3[[#This Row],[Sale_Price]]&lt;500000,"Budget",
IF(tbl_sales3[[#This Row],[Sale_Price]]&lt;1000000,"Mid-Range",
"Luxury"))</f>
        <v>Budget</v>
      </c>
      <c r="R133" s="4">
        <f>IFERROR(tbl_sales3[[#This Row],[Sale_Price]]*tbl_sales3[[#This Row],[Commission_Rate]],0)</f>
        <v>16790.96</v>
      </c>
      <c r="S133" t="str">
        <f>IF(ABS(tbl_sales3[[#This Row],[Commission_Earned]]-tbl_sales3[[#This Row],[Calculated_Commission]])&lt;0.02,"Correct","Mismatch")</f>
        <v>Correct</v>
      </c>
      <c r="T133">
        <f>YEAR(tbl_sales3[[#This Row],[Sale_Date]])</f>
        <v>2023</v>
      </c>
      <c r="U133" s="1" t="str">
        <f>TEXT(tbl_sales3[[#This Row],[Sale_Date]],"mmmm")</f>
        <v>August</v>
      </c>
      <c r="V133" s="2">
        <f>EOMONTH(tbl_sales3[[#This Row],[Sale_Date]],0)</f>
        <v>45169</v>
      </c>
      <c r="W133" s="1" t="str">
        <f>IF(AND(tbl_sales3[[#This Row],[Sale_Price]]&gt;1000000,tbl_sales3[[#This Row],[Days_on_Market]]&lt;30),"High Demand","Normal")</f>
        <v>Normal</v>
      </c>
    </row>
    <row r="134" spans="1:23" x14ac:dyDescent="0.3">
      <c r="A134" s="1" t="s">
        <v>172</v>
      </c>
      <c r="B134" s="1" t="s">
        <v>22</v>
      </c>
      <c r="C134" s="1" t="s">
        <v>33</v>
      </c>
      <c r="D134">
        <v>2</v>
      </c>
      <c r="E134">
        <v>2</v>
      </c>
      <c r="F134">
        <v>2226</v>
      </c>
      <c r="G134">
        <v>516867</v>
      </c>
      <c r="H134">
        <v>487175</v>
      </c>
      <c r="I134" s="2">
        <v>44948</v>
      </c>
      <c r="J134" s="2">
        <v>45027</v>
      </c>
      <c r="K134">
        <v>79</v>
      </c>
      <c r="L134" s="1" t="s">
        <v>39</v>
      </c>
      <c r="M134" s="1" t="s">
        <v>20</v>
      </c>
      <c r="N134">
        <v>0.04</v>
      </c>
      <c r="O134">
        <v>19487</v>
      </c>
      <c r="P134">
        <v>-29692</v>
      </c>
      <c r="Q134" t="str">
        <f>IF(tbl_sales3[[#This Row],[Sale_Price]]&lt;500000,"Budget",
IF(tbl_sales3[[#This Row],[Sale_Price]]&lt;1000000,"Mid-Range",
"Luxury"))</f>
        <v>Budget</v>
      </c>
      <c r="R134" s="4">
        <f>IFERROR(tbl_sales3[[#This Row],[Sale_Price]]*tbl_sales3[[#This Row],[Commission_Rate]],0)</f>
        <v>19487</v>
      </c>
      <c r="S134" t="str">
        <f>IF(ABS(tbl_sales3[[#This Row],[Commission_Earned]]-tbl_sales3[[#This Row],[Calculated_Commission]])&lt;0.02,"Correct","Mismatch")</f>
        <v>Correct</v>
      </c>
      <c r="T134">
        <f>YEAR(tbl_sales3[[#This Row],[Sale_Date]])</f>
        <v>2023</v>
      </c>
      <c r="U134" s="1" t="str">
        <f>TEXT(tbl_sales3[[#This Row],[Sale_Date]],"mmmm")</f>
        <v>April</v>
      </c>
      <c r="V134" s="2">
        <f>EOMONTH(tbl_sales3[[#This Row],[Sale_Date]],0)</f>
        <v>45046</v>
      </c>
      <c r="W134" s="1" t="str">
        <f>IF(AND(tbl_sales3[[#This Row],[Sale_Price]]&gt;1000000,tbl_sales3[[#This Row],[Days_on_Market]]&lt;30),"High Demand","Normal")</f>
        <v>Normal</v>
      </c>
    </row>
    <row r="135" spans="1:23" x14ac:dyDescent="0.3">
      <c r="A135" s="1" t="s">
        <v>173</v>
      </c>
      <c r="B135" s="1" t="s">
        <v>22</v>
      </c>
      <c r="C135" s="1" t="s">
        <v>38</v>
      </c>
      <c r="D135">
        <v>4</v>
      </c>
      <c r="E135">
        <v>2</v>
      </c>
      <c r="F135">
        <v>1681</v>
      </c>
      <c r="G135">
        <v>694457</v>
      </c>
      <c r="H135">
        <v>666660</v>
      </c>
      <c r="I135" s="2">
        <v>45352</v>
      </c>
      <c r="J135" s="2">
        <v>45403</v>
      </c>
      <c r="K135">
        <v>51</v>
      </c>
      <c r="L135" s="1" t="s">
        <v>44</v>
      </c>
      <c r="M135" s="1" t="s">
        <v>24</v>
      </c>
      <c r="N135">
        <v>4.4999999999999998E-2</v>
      </c>
      <c r="O135">
        <v>29999.7</v>
      </c>
      <c r="P135">
        <v>-27797</v>
      </c>
      <c r="Q135" t="str">
        <f>IF(tbl_sales3[[#This Row],[Sale_Price]]&lt;500000,"Budget",
IF(tbl_sales3[[#This Row],[Sale_Price]]&lt;1000000,"Mid-Range",
"Luxury"))</f>
        <v>Mid-Range</v>
      </c>
      <c r="R135" s="4">
        <f>IFERROR(tbl_sales3[[#This Row],[Sale_Price]]*tbl_sales3[[#This Row],[Commission_Rate]],0)</f>
        <v>29999.699999999997</v>
      </c>
      <c r="S135" t="str">
        <f>IF(ABS(tbl_sales3[[#This Row],[Commission_Earned]]-tbl_sales3[[#This Row],[Calculated_Commission]])&lt;0.02,"Correct","Mismatch")</f>
        <v>Correct</v>
      </c>
      <c r="T135">
        <f>YEAR(tbl_sales3[[#This Row],[Sale_Date]])</f>
        <v>2024</v>
      </c>
      <c r="U135" s="1" t="str">
        <f>TEXT(tbl_sales3[[#This Row],[Sale_Date]],"mmmm")</f>
        <v>April</v>
      </c>
      <c r="V135" s="2">
        <f>EOMONTH(tbl_sales3[[#This Row],[Sale_Date]],0)</f>
        <v>45412</v>
      </c>
      <c r="W135" s="1" t="str">
        <f>IF(AND(tbl_sales3[[#This Row],[Sale_Price]]&gt;1000000,tbl_sales3[[#This Row],[Days_on_Market]]&lt;30),"High Demand","Normal")</f>
        <v>Normal</v>
      </c>
    </row>
    <row r="136" spans="1:23" x14ac:dyDescent="0.3">
      <c r="A136" s="1" t="s">
        <v>174</v>
      </c>
      <c r="B136" s="1" t="s">
        <v>26</v>
      </c>
      <c r="C136" s="1" t="s">
        <v>23</v>
      </c>
      <c r="D136">
        <v>5</v>
      </c>
      <c r="E136">
        <v>1</v>
      </c>
      <c r="F136">
        <v>1528</v>
      </c>
      <c r="G136">
        <v>1748735</v>
      </c>
      <c r="H136">
        <v>1706951</v>
      </c>
      <c r="I136" s="2">
        <v>45575</v>
      </c>
      <c r="J136" s="2">
        <v>45660</v>
      </c>
      <c r="K136">
        <v>85</v>
      </c>
      <c r="L136" s="1" t="s">
        <v>27</v>
      </c>
      <c r="M136" s="1" t="s">
        <v>28</v>
      </c>
      <c r="N136">
        <v>4.4999999999999998E-2</v>
      </c>
      <c r="O136">
        <v>76812.789999999994</v>
      </c>
      <c r="P136">
        <v>-41784</v>
      </c>
      <c r="Q136" t="str">
        <f>IF(tbl_sales3[[#This Row],[Sale_Price]]&lt;500000,"Budget",
IF(tbl_sales3[[#This Row],[Sale_Price]]&lt;1000000,"Mid-Range",
"Luxury"))</f>
        <v>Luxury</v>
      </c>
      <c r="R136" s="4">
        <f>IFERROR(tbl_sales3[[#This Row],[Sale_Price]]*tbl_sales3[[#This Row],[Commission_Rate]],0)</f>
        <v>76812.794999999998</v>
      </c>
      <c r="S136" t="str">
        <f>IF(ABS(tbl_sales3[[#This Row],[Commission_Earned]]-tbl_sales3[[#This Row],[Calculated_Commission]])&lt;0.02,"Correct","Mismatch")</f>
        <v>Correct</v>
      </c>
      <c r="T136">
        <f>YEAR(tbl_sales3[[#This Row],[Sale_Date]])</f>
        <v>2025</v>
      </c>
      <c r="U136" s="1" t="str">
        <f>TEXT(tbl_sales3[[#This Row],[Sale_Date]],"mmmm")</f>
        <v>January</v>
      </c>
      <c r="V136" s="2">
        <f>EOMONTH(tbl_sales3[[#This Row],[Sale_Date]],0)</f>
        <v>45688</v>
      </c>
      <c r="W136" s="1" t="str">
        <f>IF(AND(tbl_sales3[[#This Row],[Sale_Price]]&gt;1000000,tbl_sales3[[#This Row],[Days_on_Market]]&lt;30),"High Demand","Normal")</f>
        <v>Normal</v>
      </c>
    </row>
    <row r="137" spans="1:23" x14ac:dyDescent="0.3">
      <c r="A137" s="1" t="s">
        <v>175</v>
      </c>
      <c r="B137" s="1" t="s">
        <v>32</v>
      </c>
      <c r="C137" s="1" t="s">
        <v>23</v>
      </c>
      <c r="D137">
        <v>5</v>
      </c>
      <c r="E137">
        <v>4</v>
      </c>
      <c r="F137">
        <v>818</v>
      </c>
      <c r="G137">
        <v>997279</v>
      </c>
      <c r="H137">
        <v>962053</v>
      </c>
      <c r="I137" s="2">
        <v>44968</v>
      </c>
      <c r="J137" s="2">
        <v>45021</v>
      </c>
      <c r="K137">
        <v>53</v>
      </c>
      <c r="L137" s="1" t="s">
        <v>42</v>
      </c>
      <c r="M137" s="1" t="s">
        <v>24</v>
      </c>
      <c r="N137">
        <v>4.4999999999999998E-2</v>
      </c>
      <c r="O137">
        <v>43292.38</v>
      </c>
      <c r="P137">
        <v>-35226</v>
      </c>
      <c r="Q137" t="str">
        <f>IF(tbl_sales3[[#This Row],[Sale_Price]]&lt;500000,"Budget",
IF(tbl_sales3[[#This Row],[Sale_Price]]&lt;1000000,"Mid-Range",
"Luxury"))</f>
        <v>Mid-Range</v>
      </c>
      <c r="R137" s="4">
        <f>IFERROR(tbl_sales3[[#This Row],[Sale_Price]]*tbl_sales3[[#This Row],[Commission_Rate]],0)</f>
        <v>43292.384999999995</v>
      </c>
      <c r="S137" t="str">
        <f>IF(ABS(tbl_sales3[[#This Row],[Commission_Earned]]-tbl_sales3[[#This Row],[Calculated_Commission]])&lt;0.02,"Correct","Mismatch")</f>
        <v>Correct</v>
      </c>
      <c r="T137">
        <f>YEAR(tbl_sales3[[#This Row],[Sale_Date]])</f>
        <v>2023</v>
      </c>
      <c r="U137" s="1" t="str">
        <f>TEXT(tbl_sales3[[#This Row],[Sale_Date]],"mmmm")</f>
        <v>April</v>
      </c>
      <c r="V137" s="2">
        <f>EOMONTH(tbl_sales3[[#This Row],[Sale_Date]],0)</f>
        <v>45046</v>
      </c>
      <c r="W137" s="1" t="str">
        <f>IF(AND(tbl_sales3[[#This Row],[Sale_Price]]&gt;1000000,tbl_sales3[[#This Row],[Days_on_Market]]&lt;30),"High Demand","Normal")</f>
        <v>Normal</v>
      </c>
    </row>
    <row r="138" spans="1:23" x14ac:dyDescent="0.3">
      <c r="A138" s="1" t="s">
        <v>176</v>
      </c>
      <c r="B138" s="1" t="s">
        <v>22</v>
      </c>
      <c r="C138" s="1" t="s">
        <v>33</v>
      </c>
      <c r="D138">
        <v>3</v>
      </c>
      <c r="E138">
        <v>1</v>
      </c>
      <c r="F138">
        <v>2721</v>
      </c>
      <c r="G138">
        <v>1798428</v>
      </c>
      <c r="H138">
        <v>1774284</v>
      </c>
      <c r="I138" s="2">
        <v>45040</v>
      </c>
      <c r="J138" s="2">
        <v>45066</v>
      </c>
      <c r="K138">
        <v>26</v>
      </c>
      <c r="L138" s="1" t="s">
        <v>19</v>
      </c>
      <c r="M138" s="1" t="s">
        <v>24</v>
      </c>
      <c r="N138">
        <v>0.04</v>
      </c>
      <c r="O138">
        <v>70971.360000000001</v>
      </c>
      <c r="P138">
        <v>-24144</v>
      </c>
      <c r="Q138" t="str">
        <f>IF(tbl_sales3[[#This Row],[Sale_Price]]&lt;500000,"Budget",
IF(tbl_sales3[[#This Row],[Sale_Price]]&lt;1000000,"Mid-Range",
"Luxury"))</f>
        <v>Luxury</v>
      </c>
      <c r="R138" s="4">
        <f>IFERROR(tbl_sales3[[#This Row],[Sale_Price]]*tbl_sales3[[#This Row],[Commission_Rate]],0)</f>
        <v>70971.360000000001</v>
      </c>
      <c r="S138" t="str">
        <f>IF(ABS(tbl_sales3[[#This Row],[Commission_Earned]]-tbl_sales3[[#This Row],[Calculated_Commission]])&lt;0.02,"Correct","Mismatch")</f>
        <v>Correct</v>
      </c>
      <c r="T138">
        <f>YEAR(tbl_sales3[[#This Row],[Sale_Date]])</f>
        <v>2023</v>
      </c>
      <c r="U138" s="1" t="str">
        <f>TEXT(tbl_sales3[[#This Row],[Sale_Date]],"mmmm")</f>
        <v>May</v>
      </c>
      <c r="V138" s="2">
        <f>EOMONTH(tbl_sales3[[#This Row],[Sale_Date]],0)</f>
        <v>45077</v>
      </c>
      <c r="W138" s="1" t="str">
        <f>IF(AND(tbl_sales3[[#This Row],[Sale_Price]]&gt;1000000,tbl_sales3[[#This Row],[Days_on_Market]]&lt;30),"High Demand","Normal")</f>
        <v>High Demand</v>
      </c>
    </row>
    <row r="139" spans="1:23" x14ac:dyDescent="0.3">
      <c r="A139" s="1" t="s">
        <v>177</v>
      </c>
      <c r="B139" s="1" t="s">
        <v>32</v>
      </c>
      <c r="C139" s="1" t="s">
        <v>18</v>
      </c>
      <c r="D139">
        <v>3</v>
      </c>
      <c r="E139">
        <v>2</v>
      </c>
      <c r="F139">
        <v>3171</v>
      </c>
      <c r="G139">
        <v>1197673</v>
      </c>
      <c r="H139">
        <v>1160932</v>
      </c>
      <c r="I139" s="2">
        <v>45109</v>
      </c>
      <c r="J139" s="2">
        <v>45174</v>
      </c>
      <c r="K139">
        <v>65</v>
      </c>
      <c r="L139" s="1" t="s">
        <v>19</v>
      </c>
      <c r="M139" s="1" t="s">
        <v>20</v>
      </c>
      <c r="N139">
        <v>4.4999999999999998E-2</v>
      </c>
      <c r="O139">
        <v>52241.94</v>
      </c>
      <c r="P139">
        <v>-36741</v>
      </c>
      <c r="Q139" t="str">
        <f>IF(tbl_sales3[[#This Row],[Sale_Price]]&lt;500000,"Budget",
IF(tbl_sales3[[#This Row],[Sale_Price]]&lt;1000000,"Mid-Range",
"Luxury"))</f>
        <v>Luxury</v>
      </c>
      <c r="R139" s="4">
        <f>IFERROR(tbl_sales3[[#This Row],[Sale_Price]]*tbl_sales3[[#This Row],[Commission_Rate]],0)</f>
        <v>52241.939999999995</v>
      </c>
      <c r="S139" t="str">
        <f>IF(ABS(tbl_sales3[[#This Row],[Commission_Earned]]-tbl_sales3[[#This Row],[Calculated_Commission]])&lt;0.02,"Correct","Mismatch")</f>
        <v>Correct</v>
      </c>
      <c r="T139">
        <f>YEAR(tbl_sales3[[#This Row],[Sale_Date]])</f>
        <v>2023</v>
      </c>
      <c r="U139" s="1" t="str">
        <f>TEXT(tbl_sales3[[#This Row],[Sale_Date]],"mmmm")</f>
        <v>September</v>
      </c>
      <c r="V139" s="2">
        <f>EOMONTH(tbl_sales3[[#This Row],[Sale_Date]],0)</f>
        <v>45199</v>
      </c>
      <c r="W139" s="1" t="str">
        <f>IF(AND(tbl_sales3[[#This Row],[Sale_Price]]&gt;1000000,tbl_sales3[[#This Row],[Days_on_Market]]&lt;30),"High Demand","Normal")</f>
        <v>Normal</v>
      </c>
    </row>
    <row r="140" spans="1:23" x14ac:dyDescent="0.3">
      <c r="A140" s="1" t="s">
        <v>178</v>
      </c>
      <c r="B140" s="1" t="s">
        <v>59</v>
      </c>
      <c r="C140" s="1" t="s">
        <v>23</v>
      </c>
      <c r="D140">
        <v>4</v>
      </c>
      <c r="E140">
        <v>4</v>
      </c>
      <c r="F140">
        <v>829</v>
      </c>
      <c r="G140">
        <v>499742</v>
      </c>
      <c r="H140">
        <v>435990</v>
      </c>
      <c r="I140" s="2">
        <v>45615</v>
      </c>
      <c r="J140" s="2">
        <v>45704</v>
      </c>
      <c r="K140">
        <v>89</v>
      </c>
      <c r="L140" s="1" t="s">
        <v>51</v>
      </c>
      <c r="M140" s="1" t="s">
        <v>20</v>
      </c>
      <c r="N140">
        <v>0.05</v>
      </c>
      <c r="O140">
        <v>21799.5</v>
      </c>
      <c r="P140">
        <v>-63752</v>
      </c>
      <c r="Q140" t="str">
        <f>IF(tbl_sales3[[#This Row],[Sale_Price]]&lt;500000,"Budget",
IF(tbl_sales3[[#This Row],[Sale_Price]]&lt;1000000,"Mid-Range",
"Luxury"))</f>
        <v>Budget</v>
      </c>
      <c r="R140" s="4">
        <f>IFERROR(tbl_sales3[[#This Row],[Sale_Price]]*tbl_sales3[[#This Row],[Commission_Rate]],0)</f>
        <v>21799.5</v>
      </c>
      <c r="S140" t="str">
        <f>IF(ABS(tbl_sales3[[#This Row],[Commission_Earned]]-tbl_sales3[[#This Row],[Calculated_Commission]])&lt;0.02,"Correct","Mismatch")</f>
        <v>Correct</v>
      </c>
      <c r="T140">
        <f>YEAR(tbl_sales3[[#This Row],[Sale_Date]])</f>
        <v>2025</v>
      </c>
      <c r="U140" s="1" t="str">
        <f>TEXT(tbl_sales3[[#This Row],[Sale_Date]],"mmmm")</f>
        <v>February</v>
      </c>
      <c r="V140" s="2">
        <f>EOMONTH(tbl_sales3[[#This Row],[Sale_Date]],0)</f>
        <v>45716</v>
      </c>
      <c r="W140" s="1" t="str">
        <f>IF(AND(tbl_sales3[[#This Row],[Sale_Price]]&gt;1000000,tbl_sales3[[#This Row],[Days_on_Market]]&lt;30),"High Demand","Normal")</f>
        <v>Normal</v>
      </c>
    </row>
    <row r="141" spans="1:23" x14ac:dyDescent="0.3">
      <c r="A141" s="1" t="s">
        <v>179</v>
      </c>
      <c r="B141" s="1" t="s">
        <v>48</v>
      </c>
      <c r="C141" s="1" t="s">
        <v>38</v>
      </c>
      <c r="D141">
        <v>1</v>
      </c>
      <c r="E141">
        <v>1</v>
      </c>
      <c r="F141">
        <v>605</v>
      </c>
      <c r="G141">
        <v>1025082</v>
      </c>
      <c r="H141">
        <v>984334</v>
      </c>
      <c r="I141" s="2">
        <v>45381</v>
      </c>
      <c r="J141" s="2">
        <v>45458</v>
      </c>
      <c r="K141">
        <v>77</v>
      </c>
      <c r="L141" s="1" t="s">
        <v>19</v>
      </c>
      <c r="M141" s="1" t="s">
        <v>28</v>
      </c>
      <c r="N141">
        <v>0.05</v>
      </c>
      <c r="O141">
        <v>49216.7</v>
      </c>
      <c r="P141">
        <v>-40748</v>
      </c>
      <c r="Q141" t="str">
        <f>IF(tbl_sales3[[#This Row],[Sale_Price]]&lt;500000,"Budget",
IF(tbl_sales3[[#This Row],[Sale_Price]]&lt;1000000,"Mid-Range",
"Luxury"))</f>
        <v>Mid-Range</v>
      </c>
      <c r="R141" s="4">
        <f>IFERROR(tbl_sales3[[#This Row],[Sale_Price]]*tbl_sales3[[#This Row],[Commission_Rate]],0)</f>
        <v>49216.700000000004</v>
      </c>
      <c r="S141" t="str">
        <f>IF(ABS(tbl_sales3[[#This Row],[Commission_Earned]]-tbl_sales3[[#This Row],[Calculated_Commission]])&lt;0.02,"Correct","Mismatch")</f>
        <v>Correct</v>
      </c>
      <c r="T141">
        <f>YEAR(tbl_sales3[[#This Row],[Sale_Date]])</f>
        <v>2024</v>
      </c>
      <c r="U141" s="1" t="str">
        <f>TEXT(tbl_sales3[[#This Row],[Sale_Date]],"mmmm")</f>
        <v>June</v>
      </c>
      <c r="V141" s="2">
        <f>EOMONTH(tbl_sales3[[#This Row],[Sale_Date]],0)</f>
        <v>45473</v>
      </c>
      <c r="W141" s="1" t="str">
        <f>IF(AND(tbl_sales3[[#This Row],[Sale_Price]]&gt;1000000,tbl_sales3[[#This Row],[Days_on_Market]]&lt;30),"High Demand","Normal")</f>
        <v>Normal</v>
      </c>
    </row>
    <row r="142" spans="1:23" x14ac:dyDescent="0.3">
      <c r="A142" s="1" t="s">
        <v>180</v>
      </c>
      <c r="B142" s="1" t="s">
        <v>59</v>
      </c>
      <c r="C142" s="1" t="s">
        <v>23</v>
      </c>
      <c r="D142">
        <v>3</v>
      </c>
      <c r="E142">
        <v>2</v>
      </c>
      <c r="F142">
        <v>3264</v>
      </c>
      <c r="G142">
        <v>1551328</v>
      </c>
      <c r="H142">
        <v>1474036</v>
      </c>
      <c r="I142" s="2">
        <v>45346</v>
      </c>
      <c r="J142" s="2">
        <v>45400</v>
      </c>
      <c r="K142">
        <v>54</v>
      </c>
      <c r="L142" s="1" t="s">
        <v>53</v>
      </c>
      <c r="M142" s="1" t="s">
        <v>20</v>
      </c>
      <c r="N142">
        <v>4.4999999999999998E-2</v>
      </c>
      <c r="O142">
        <v>66331.62</v>
      </c>
      <c r="P142">
        <v>-77292</v>
      </c>
      <c r="Q142" t="str">
        <f>IF(tbl_sales3[[#This Row],[Sale_Price]]&lt;500000,"Budget",
IF(tbl_sales3[[#This Row],[Sale_Price]]&lt;1000000,"Mid-Range",
"Luxury"))</f>
        <v>Luxury</v>
      </c>
      <c r="R142" s="4">
        <f>IFERROR(tbl_sales3[[#This Row],[Sale_Price]]*tbl_sales3[[#This Row],[Commission_Rate]],0)</f>
        <v>66331.62</v>
      </c>
      <c r="S142" t="str">
        <f>IF(ABS(tbl_sales3[[#This Row],[Commission_Earned]]-tbl_sales3[[#This Row],[Calculated_Commission]])&lt;0.02,"Correct","Mismatch")</f>
        <v>Correct</v>
      </c>
      <c r="T142">
        <f>YEAR(tbl_sales3[[#This Row],[Sale_Date]])</f>
        <v>2024</v>
      </c>
      <c r="U142" s="1" t="str">
        <f>TEXT(tbl_sales3[[#This Row],[Sale_Date]],"mmmm")</f>
        <v>April</v>
      </c>
      <c r="V142" s="2">
        <f>EOMONTH(tbl_sales3[[#This Row],[Sale_Date]],0)</f>
        <v>45412</v>
      </c>
      <c r="W142" s="1" t="str">
        <f>IF(AND(tbl_sales3[[#This Row],[Sale_Price]]&gt;1000000,tbl_sales3[[#This Row],[Days_on_Market]]&lt;30),"High Demand","Normal")</f>
        <v>Normal</v>
      </c>
    </row>
    <row r="143" spans="1:23" x14ac:dyDescent="0.3">
      <c r="A143" s="1" t="s">
        <v>181</v>
      </c>
      <c r="B143" s="1" t="s">
        <v>17</v>
      </c>
      <c r="C143" s="1" t="s">
        <v>18</v>
      </c>
      <c r="D143">
        <v>2</v>
      </c>
      <c r="E143">
        <v>4</v>
      </c>
      <c r="F143">
        <v>756</v>
      </c>
      <c r="G143">
        <v>638449</v>
      </c>
      <c r="H143">
        <v>609101</v>
      </c>
      <c r="I143" s="2">
        <v>45168</v>
      </c>
      <c r="J143" s="2">
        <v>45219</v>
      </c>
      <c r="K143">
        <v>51</v>
      </c>
      <c r="L143" s="1" t="s">
        <v>51</v>
      </c>
      <c r="M143" s="1" t="s">
        <v>24</v>
      </c>
      <c r="N143">
        <v>0.04</v>
      </c>
      <c r="O143">
        <v>24364.04</v>
      </c>
      <c r="P143">
        <v>-29348</v>
      </c>
      <c r="Q143" t="str">
        <f>IF(tbl_sales3[[#This Row],[Sale_Price]]&lt;500000,"Budget",
IF(tbl_sales3[[#This Row],[Sale_Price]]&lt;1000000,"Mid-Range",
"Luxury"))</f>
        <v>Mid-Range</v>
      </c>
      <c r="R143" s="4">
        <f>IFERROR(tbl_sales3[[#This Row],[Sale_Price]]*tbl_sales3[[#This Row],[Commission_Rate]],0)</f>
        <v>24364.04</v>
      </c>
      <c r="S143" t="str">
        <f>IF(ABS(tbl_sales3[[#This Row],[Commission_Earned]]-tbl_sales3[[#This Row],[Calculated_Commission]])&lt;0.02,"Correct","Mismatch")</f>
        <v>Correct</v>
      </c>
      <c r="T143">
        <f>YEAR(tbl_sales3[[#This Row],[Sale_Date]])</f>
        <v>2023</v>
      </c>
      <c r="U143" s="1" t="str">
        <f>TEXT(tbl_sales3[[#This Row],[Sale_Date]],"mmmm")</f>
        <v>October</v>
      </c>
      <c r="V143" s="2">
        <f>EOMONTH(tbl_sales3[[#This Row],[Sale_Date]],0)</f>
        <v>45230</v>
      </c>
      <c r="W143" s="1" t="str">
        <f>IF(AND(tbl_sales3[[#This Row],[Sale_Price]]&gt;1000000,tbl_sales3[[#This Row],[Days_on_Market]]&lt;30),"High Demand","Normal")</f>
        <v>Normal</v>
      </c>
    </row>
    <row r="144" spans="1:23" x14ac:dyDescent="0.3">
      <c r="A144" s="1" t="s">
        <v>182</v>
      </c>
      <c r="B144" s="1" t="s">
        <v>41</v>
      </c>
      <c r="C144" s="1" t="s">
        <v>38</v>
      </c>
      <c r="D144">
        <v>4</v>
      </c>
      <c r="E144">
        <v>3</v>
      </c>
      <c r="F144">
        <v>1763</v>
      </c>
      <c r="G144">
        <v>446264</v>
      </c>
      <c r="H144">
        <v>437102</v>
      </c>
      <c r="I144" s="2">
        <v>45585</v>
      </c>
      <c r="J144" s="2">
        <v>45644</v>
      </c>
      <c r="K144">
        <v>59</v>
      </c>
      <c r="L144" s="1" t="s">
        <v>19</v>
      </c>
      <c r="M144" s="1" t="s">
        <v>24</v>
      </c>
      <c r="N144">
        <v>0.05</v>
      </c>
      <c r="O144">
        <v>21855.1</v>
      </c>
      <c r="P144">
        <v>-9162</v>
      </c>
      <c r="Q144" t="str">
        <f>IF(tbl_sales3[[#This Row],[Sale_Price]]&lt;500000,"Budget",
IF(tbl_sales3[[#This Row],[Sale_Price]]&lt;1000000,"Mid-Range",
"Luxury"))</f>
        <v>Budget</v>
      </c>
      <c r="R144" s="4">
        <f>IFERROR(tbl_sales3[[#This Row],[Sale_Price]]*tbl_sales3[[#This Row],[Commission_Rate]],0)</f>
        <v>21855.100000000002</v>
      </c>
      <c r="S144" t="str">
        <f>IF(ABS(tbl_sales3[[#This Row],[Commission_Earned]]-tbl_sales3[[#This Row],[Calculated_Commission]])&lt;0.02,"Correct","Mismatch")</f>
        <v>Correct</v>
      </c>
      <c r="T144">
        <f>YEAR(tbl_sales3[[#This Row],[Sale_Date]])</f>
        <v>2024</v>
      </c>
      <c r="U144" s="1" t="str">
        <f>TEXT(tbl_sales3[[#This Row],[Sale_Date]],"mmmm")</f>
        <v>December</v>
      </c>
      <c r="V144" s="2">
        <f>EOMONTH(tbl_sales3[[#This Row],[Sale_Date]],0)</f>
        <v>45657</v>
      </c>
      <c r="W144" s="1" t="str">
        <f>IF(AND(tbl_sales3[[#This Row],[Sale_Price]]&gt;1000000,tbl_sales3[[#This Row],[Days_on_Market]]&lt;30),"High Demand","Normal")</f>
        <v>Normal</v>
      </c>
    </row>
    <row r="145" spans="1:23" x14ac:dyDescent="0.3">
      <c r="A145" s="1" t="s">
        <v>183</v>
      </c>
      <c r="B145" s="1" t="s">
        <v>17</v>
      </c>
      <c r="C145" s="1" t="s">
        <v>38</v>
      </c>
      <c r="D145">
        <v>5</v>
      </c>
      <c r="E145">
        <v>3</v>
      </c>
      <c r="F145">
        <v>1241</v>
      </c>
      <c r="G145">
        <v>901754</v>
      </c>
      <c r="H145">
        <v>853509</v>
      </c>
      <c r="I145" s="2">
        <v>45057</v>
      </c>
      <c r="J145" s="2">
        <v>45066</v>
      </c>
      <c r="K145">
        <v>9</v>
      </c>
      <c r="L145" s="1" t="s">
        <v>27</v>
      </c>
      <c r="M145" s="1" t="s">
        <v>20</v>
      </c>
      <c r="N145">
        <v>4.4999999999999998E-2</v>
      </c>
      <c r="O145">
        <v>38407.9</v>
      </c>
      <c r="P145">
        <v>-48245</v>
      </c>
      <c r="Q145" t="str">
        <f>IF(tbl_sales3[[#This Row],[Sale_Price]]&lt;500000,"Budget",
IF(tbl_sales3[[#This Row],[Sale_Price]]&lt;1000000,"Mid-Range",
"Luxury"))</f>
        <v>Mid-Range</v>
      </c>
      <c r="R145" s="4">
        <f>IFERROR(tbl_sales3[[#This Row],[Sale_Price]]*tbl_sales3[[#This Row],[Commission_Rate]],0)</f>
        <v>38407.904999999999</v>
      </c>
      <c r="S145" t="str">
        <f>IF(ABS(tbl_sales3[[#This Row],[Commission_Earned]]-tbl_sales3[[#This Row],[Calculated_Commission]])&lt;0.02,"Correct","Mismatch")</f>
        <v>Correct</v>
      </c>
      <c r="T145">
        <f>YEAR(tbl_sales3[[#This Row],[Sale_Date]])</f>
        <v>2023</v>
      </c>
      <c r="U145" s="1" t="str">
        <f>TEXT(tbl_sales3[[#This Row],[Sale_Date]],"mmmm")</f>
        <v>May</v>
      </c>
      <c r="V145" s="2">
        <f>EOMONTH(tbl_sales3[[#This Row],[Sale_Date]],0)</f>
        <v>45077</v>
      </c>
      <c r="W145" s="1" t="str">
        <f>IF(AND(tbl_sales3[[#This Row],[Sale_Price]]&gt;1000000,tbl_sales3[[#This Row],[Days_on_Market]]&lt;30),"High Demand","Normal")</f>
        <v>Normal</v>
      </c>
    </row>
    <row r="146" spans="1:23" x14ac:dyDescent="0.3">
      <c r="A146" s="1" t="s">
        <v>184</v>
      </c>
      <c r="B146" s="1" t="s">
        <v>48</v>
      </c>
      <c r="C146" s="1" t="s">
        <v>38</v>
      </c>
      <c r="D146">
        <v>1</v>
      </c>
      <c r="E146">
        <v>4</v>
      </c>
      <c r="F146">
        <v>1573</v>
      </c>
      <c r="G146">
        <v>1737361</v>
      </c>
      <c r="H146">
        <v>1676493</v>
      </c>
      <c r="I146" s="2">
        <v>45566</v>
      </c>
      <c r="J146" s="2">
        <v>45599</v>
      </c>
      <c r="K146">
        <v>33</v>
      </c>
      <c r="L146" s="1" t="s">
        <v>19</v>
      </c>
      <c r="M146" s="1" t="s">
        <v>24</v>
      </c>
      <c r="N146">
        <v>0.04</v>
      </c>
      <c r="O146">
        <v>67059.72</v>
      </c>
      <c r="P146">
        <v>-60868</v>
      </c>
      <c r="Q146" t="str">
        <f>IF(tbl_sales3[[#This Row],[Sale_Price]]&lt;500000,"Budget",
IF(tbl_sales3[[#This Row],[Sale_Price]]&lt;1000000,"Mid-Range",
"Luxury"))</f>
        <v>Luxury</v>
      </c>
      <c r="R146" s="4">
        <f>IFERROR(tbl_sales3[[#This Row],[Sale_Price]]*tbl_sales3[[#This Row],[Commission_Rate]],0)</f>
        <v>67059.72</v>
      </c>
      <c r="S146" t="str">
        <f>IF(ABS(tbl_sales3[[#This Row],[Commission_Earned]]-tbl_sales3[[#This Row],[Calculated_Commission]])&lt;0.02,"Correct","Mismatch")</f>
        <v>Correct</v>
      </c>
      <c r="T146">
        <f>YEAR(tbl_sales3[[#This Row],[Sale_Date]])</f>
        <v>2024</v>
      </c>
      <c r="U146" s="1" t="str">
        <f>TEXT(tbl_sales3[[#This Row],[Sale_Date]],"mmmm")</f>
        <v>November</v>
      </c>
      <c r="V146" s="2">
        <f>EOMONTH(tbl_sales3[[#This Row],[Sale_Date]],0)</f>
        <v>45626</v>
      </c>
      <c r="W146" s="1" t="str">
        <f>IF(AND(tbl_sales3[[#This Row],[Sale_Price]]&gt;1000000,tbl_sales3[[#This Row],[Days_on_Market]]&lt;30),"High Demand","Normal")</f>
        <v>Normal</v>
      </c>
    </row>
    <row r="147" spans="1:23" x14ac:dyDescent="0.3">
      <c r="A147" s="1" t="s">
        <v>185</v>
      </c>
      <c r="B147" s="1" t="s">
        <v>48</v>
      </c>
      <c r="C147" s="1" t="s">
        <v>38</v>
      </c>
      <c r="D147">
        <v>2</v>
      </c>
      <c r="E147">
        <v>4</v>
      </c>
      <c r="F147">
        <v>2559</v>
      </c>
      <c r="G147">
        <v>576260</v>
      </c>
      <c r="H147">
        <v>523190</v>
      </c>
      <c r="I147" s="2">
        <v>44977</v>
      </c>
      <c r="J147" s="2">
        <v>45021</v>
      </c>
      <c r="K147">
        <v>44</v>
      </c>
      <c r="L147" s="1" t="s">
        <v>27</v>
      </c>
      <c r="M147" s="1" t="s">
        <v>20</v>
      </c>
      <c r="N147">
        <v>0.05</v>
      </c>
      <c r="O147">
        <v>26159.5</v>
      </c>
      <c r="P147">
        <v>-53070</v>
      </c>
      <c r="Q147" t="str">
        <f>IF(tbl_sales3[[#This Row],[Sale_Price]]&lt;500000,"Budget",
IF(tbl_sales3[[#This Row],[Sale_Price]]&lt;1000000,"Mid-Range",
"Luxury"))</f>
        <v>Mid-Range</v>
      </c>
      <c r="R147" s="4">
        <f>IFERROR(tbl_sales3[[#This Row],[Sale_Price]]*tbl_sales3[[#This Row],[Commission_Rate]],0)</f>
        <v>26159.5</v>
      </c>
      <c r="S147" t="str">
        <f>IF(ABS(tbl_sales3[[#This Row],[Commission_Earned]]-tbl_sales3[[#This Row],[Calculated_Commission]])&lt;0.02,"Correct","Mismatch")</f>
        <v>Correct</v>
      </c>
      <c r="T147">
        <f>YEAR(tbl_sales3[[#This Row],[Sale_Date]])</f>
        <v>2023</v>
      </c>
      <c r="U147" s="1" t="str">
        <f>TEXT(tbl_sales3[[#This Row],[Sale_Date]],"mmmm")</f>
        <v>April</v>
      </c>
      <c r="V147" s="2">
        <f>EOMONTH(tbl_sales3[[#This Row],[Sale_Date]],0)</f>
        <v>45046</v>
      </c>
      <c r="W147" s="1" t="str">
        <f>IF(AND(tbl_sales3[[#This Row],[Sale_Price]]&gt;1000000,tbl_sales3[[#This Row],[Days_on_Market]]&lt;30),"High Demand","Normal")</f>
        <v>Normal</v>
      </c>
    </row>
    <row r="148" spans="1:23" x14ac:dyDescent="0.3">
      <c r="A148" s="1" t="s">
        <v>186</v>
      </c>
      <c r="B148" s="1" t="s">
        <v>41</v>
      </c>
      <c r="C148" s="1" t="s">
        <v>38</v>
      </c>
      <c r="D148">
        <v>3</v>
      </c>
      <c r="E148">
        <v>4</v>
      </c>
      <c r="F148">
        <v>1092</v>
      </c>
      <c r="G148">
        <v>1278800</v>
      </c>
      <c r="H148">
        <v>1250840</v>
      </c>
      <c r="I148" s="2">
        <v>45207</v>
      </c>
      <c r="J148" s="2">
        <v>45290</v>
      </c>
      <c r="K148">
        <v>83</v>
      </c>
      <c r="L148" s="1" t="s">
        <v>30</v>
      </c>
      <c r="M148" s="1" t="s">
        <v>20</v>
      </c>
      <c r="N148">
        <v>0.04</v>
      </c>
      <c r="O148">
        <v>50033.599999999999</v>
      </c>
      <c r="P148">
        <v>-27960</v>
      </c>
      <c r="Q148" t="str">
        <f>IF(tbl_sales3[[#This Row],[Sale_Price]]&lt;500000,"Budget",
IF(tbl_sales3[[#This Row],[Sale_Price]]&lt;1000000,"Mid-Range",
"Luxury"))</f>
        <v>Luxury</v>
      </c>
      <c r="R148" s="4">
        <f>IFERROR(tbl_sales3[[#This Row],[Sale_Price]]*tbl_sales3[[#This Row],[Commission_Rate]],0)</f>
        <v>50033.599999999999</v>
      </c>
      <c r="S148" t="str">
        <f>IF(ABS(tbl_sales3[[#This Row],[Commission_Earned]]-tbl_sales3[[#This Row],[Calculated_Commission]])&lt;0.02,"Correct","Mismatch")</f>
        <v>Correct</v>
      </c>
      <c r="T148">
        <f>YEAR(tbl_sales3[[#This Row],[Sale_Date]])</f>
        <v>2023</v>
      </c>
      <c r="U148" s="1" t="str">
        <f>TEXT(tbl_sales3[[#This Row],[Sale_Date]],"mmmm")</f>
        <v>December</v>
      </c>
      <c r="V148" s="2">
        <f>EOMONTH(tbl_sales3[[#This Row],[Sale_Date]],0)</f>
        <v>45291</v>
      </c>
      <c r="W148" s="1" t="str">
        <f>IF(AND(tbl_sales3[[#This Row],[Sale_Price]]&gt;1000000,tbl_sales3[[#This Row],[Days_on_Market]]&lt;30),"High Demand","Normal")</f>
        <v>Normal</v>
      </c>
    </row>
    <row r="149" spans="1:23" x14ac:dyDescent="0.3">
      <c r="A149" s="1" t="s">
        <v>187</v>
      </c>
      <c r="B149" s="1" t="s">
        <v>22</v>
      </c>
      <c r="C149" s="1" t="s">
        <v>35</v>
      </c>
      <c r="D149">
        <v>1</v>
      </c>
      <c r="E149">
        <v>3</v>
      </c>
      <c r="F149">
        <v>2730</v>
      </c>
      <c r="G149">
        <v>644644</v>
      </c>
      <c r="H149">
        <v>570611</v>
      </c>
      <c r="I149" s="2">
        <v>44995</v>
      </c>
      <c r="J149" s="2">
        <v>45028</v>
      </c>
      <c r="K149">
        <v>33</v>
      </c>
      <c r="L149" s="1" t="s">
        <v>42</v>
      </c>
      <c r="M149" s="1" t="s">
        <v>24</v>
      </c>
      <c r="N149">
        <v>0.05</v>
      </c>
      <c r="O149">
        <v>28530.55</v>
      </c>
      <c r="P149">
        <v>-74033</v>
      </c>
      <c r="Q149" t="str">
        <f>IF(tbl_sales3[[#This Row],[Sale_Price]]&lt;500000,"Budget",
IF(tbl_sales3[[#This Row],[Sale_Price]]&lt;1000000,"Mid-Range",
"Luxury"))</f>
        <v>Mid-Range</v>
      </c>
      <c r="R149" s="4">
        <f>IFERROR(tbl_sales3[[#This Row],[Sale_Price]]*tbl_sales3[[#This Row],[Commission_Rate]],0)</f>
        <v>28530.550000000003</v>
      </c>
      <c r="S149" t="str">
        <f>IF(ABS(tbl_sales3[[#This Row],[Commission_Earned]]-tbl_sales3[[#This Row],[Calculated_Commission]])&lt;0.02,"Correct","Mismatch")</f>
        <v>Correct</v>
      </c>
      <c r="T149">
        <f>YEAR(tbl_sales3[[#This Row],[Sale_Date]])</f>
        <v>2023</v>
      </c>
      <c r="U149" s="1" t="str">
        <f>TEXT(tbl_sales3[[#This Row],[Sale_Date]],"mmmm")</f>
        <v>April</v>
      </c>
      <c r="V149" s="2">
        <f>EOMONTH(tbl_sales3[[#This Row],[Sale_Date]],0)</f>
        <v>45046</v>
      </c>
      <c r="W149" s="1" t="str">
        <f>IF(AND(tbl_sales3[[#This Row],[Sale_Price]]&gt;1000000,tbl_sales3[[#This Row],[Days_on_Market]]&lt;30),"High Demand","Normal")</f>
        <v>Normal</v>
      </c>
    </row>
    <row r="150" spans="1:23" x14ac:dyDescent="0.3">
      <c r="A150" s="1" t="s">
        <v>188</v>
      </c>
      <c r="B150" s="1" t="s">
        <v>37</v>
      </c>
      <c r="C150" s="1" t="s">
        <v>35</v>
      </c>
      <c r="D150">
        <v>2</v>
      </c>
      <c r="E150">
        <v>4</v>
      </c>
      <c r="F150">
        <v>663</v>
      </c>
      <c r="G150">
        <v>1492832</v>
      </c>
      <c r="H150">
        <v>1471768</v>
      </c>
      <c r="I150" s="2">
        <v>45110</v>
      </c>
      <c r="J150" s="2">
        <v>45170</v>
      </c>
      <c r="K150">
        <v>60</v>
      </c>
      <c r="L150" s="1" t="s">
        <v>42</v>
      </c>
      <c r="M150" s="1" t="s">
        <v>20</v>
      </c>
      <c r="N150">
        <v>0.05</v>
      </c>
      <c r="O150">
        <v>73588.399999999994</v>
      </c>
      <c r="P150">
        <v>-21064</v>
      </c>
      <c r="Q150" t="str">
        <f>IF(tbl_sales3[[#This Row],[Sale_Price]]&lt;500000,"Budget",
IF(tbl_sales3[[#This Row],[Sale_Price]]&lt;1000000,"Mid-Range",
"Luxury"))</f>
        <v>Luxury</v>
      </c>
      <c r="R150" s="4">
        <f>IFERROR(tbl_sales3[[#This Row],[Sale_Price]]*tbl_sales3[[#This Row],[Commission_Rate]],0)</f>
        <v>73588.400000000009</v>
      </c>
      <c r="S150" t="str">
        <f>IF(ABS(tbl_sales3[[#This Row],[Commission_Earned]]-tbl_sales3[[#This Row],[Calculated_Commission]])&lt;0.02,"Correct","Mismatch")</f>
        <v>Correct</v>
      </c>
      <c r="T150">
        <f>YEAR(tbl_sales3[[#This Row],[Sale_Date]])</f>
        <v>2023</v>
      </c>
      <c r="U150" s="1" t="str">
        <f>TEXT(tbl_sales3[[#This Row],[Sale_Date]],"mmmm")</f>
        <v>September</v>
      </c>
      <c r="V150" s="2">
        <f>EOMONTH(tbl_sales3[[#This Row],[Sale_Date]],0)</f>
        <v>45199</v>
      </c>
      <c r="W150" s="1" t="str">
        <f>IF(AND(tbl_sales3[[#This Row],[Sale_Price]]&gt;1000000,tbl_sales3[[#This Row],[Days_on_Market]]&lt;30),"High Demand","Normal")</f>
        <v>Normal</v>
      </c>
    </row>
    <row r="151" spans="1:23" x14ac:dyDescent="0.3">
      <c r="A151" s="1" t="s">
        <v>189</v>
      </c>
      <c r="B151" s="1" t="s">
        <v>37</v>
      </c>
      <c r="C151" s="1" t="s">
        <v>18</v>
      </c>
      <c r="D151">
        <v>4</v>
      </c>
      <c r="E151">
        <v>1</v>
      </c>
      <c r="F151">
        <v>1203</v>
      </c>
      <c r="G151">
        <v>387538</v>
      </c>
      <c r="H151">
        <v>340329</v>
      </c>
      <c r="I151" s="2">
        <v>45249</v>
      </c>
      <c r="J151" s="2">
        <v>45279</v>
      </c>
      <c r="K151">
        <v>30</v>
      </c>
      <c r="L151" s="1" t="s">
        <v>19</v>
      </c>
      <c r="M151" s="1" t="s">
        <v>24</v>
      </c>
      <c r="N151">
        <v>0.04</v>
      </c>
      <c r="O151">
        <v>13613.16</v>
      </c>
      <c r="P151">
        <v>-47209</v>
      </c>
      <c r="Q151" t="str">
        <f>IF(tbl_sales3[[#This Row],[Sale_Price]]&lt;500000,"Budget",
IF(tbl_sales3[[#This Row],[Sale_Price]]&lt;1000000,"Mid-Range",
"Luxury"))</f>
        <v>Budget</v>
      </c>
      <c r="R151" s="4">
        <f>IFERROR(tbl_sales3[[#This Row],[Sale_Price]]*tbl_sales3[[#This Row],[Commission_Rate]],0)</f>
        <v>13613.16</v>
      </c>
      <c r="S151" t="str">
        <f>IF(ABS(tbl_sales3[[#This Row],[Commission_Earned]]-tbl_sales3[[#This Row],[Calculated_Commission]])&lt;0.02,"Correct","Mismatch")</f>
        <v>Correct</v>
      </c>
      <c r="T151">
        <f>YEAR(tbl_sales3[[#This Row],[Sale_Date]])</f>
        <v>2023</v>
      </c>
      <c r="U151" s="1" t="str">
        <f>TEXT(tbl_sales3[[#This Row],[Sale_Date]],"mmmm")</f>
        <v>December</v>
      </c>
      <c r="V151" s="2">
        <f>EOMONTH(tbl_sales3[[#This Row],[Sale_Date]],0)</f>
        <v>45291</v>
      </c>
      <c r="W151" s="1" t="str">
        <f>IF(AND(tbl_sales3[[#This Row],[Sale_Price]]&gt;1000000,tbl_sales3[[#This Row],[Days_on_Market]]&lt;30),"High Demand","Normal")</f>
        <v>Normal</v>
      </c>
    </row>
    <row r="152" spans="1:23" x14ac:dyDescent="0.3">
      <c r="A152" s="1" t="s">
        <v>190</v>
      </c>
      <c r="B152" s="1" t="s">
        <v>17</v>
      </c>
      <c r="C152" s="1" t="s">
        <v>38</v>
      </c>
      <c r="D152">
        <v>5</v>
      </c>
      <c r="E152">
        <v>1</v>
      </c>
      <c r="F152">
        <v>2933</v>
      </c>
      <c r="G152">
        <v>1107202</v>
      </c>
      <c r="H152">
        <v>1053756</v>
      </c>
      <c r="I152" s="2">
        <v>45410</v>
      </c>
      <c r="J152" s="2">
        <v>45471</v>
      </c>
      <c r="K152">
        <v>61</v>
      </c>
      <c r="L152" s="1" t="s">
        <v>27</v>
      </c>
      <c r="M152" s="1" t="s">
        <v>20</v>
      </c>
      <c r="N152">
        <v>4.4999999999999998E-2</v>
      </c>
      <c r="O152">
        <v>47419.02</v>
      </c>
      <c r="P152">
        <v>-53446</v>
      </c>
      <c r="Q152" t="str">
        <f>IF(tbl_sales3[[#This Row],[Sale_Price]]&lt;500000,"Budget",
IF(tbl_sales3[[#This Row],[Sale_Price]]&lt;1000000,"Mid-Range",
"Luxury"))</f>
        <v>Luxury</v>
      </c>
      <c r="R152" s="4">
        <f>IFERROR(tbl_sales3[[#This Row],[Sale_Price]]*tbl_sales3[[#This Row],[Commission_Rate]],0)</f>
        <v>47419.02</v>
      </c>
      <c r="S152" t="str">
        <f>IF(ABS(tbl_sales3[[#This Row],[Commission_Earned]]-tbl_sales3[[#This Row],[Calculated_Commission]])&lt;0.02,"Correct","Mismatch")</f>
        <v>Correct</v>
      </c>
      <c r="T152">
        <f>YEAR(tbl_sales3[[#This Row],[Sale_Date]])</f>
        <v>2024</v>
      </c>
      <c r="U152" s="1" t="str">
        <f>TEXT(tbl_sales3[[#This Row],[Sale_Date]],"mmmm")</f>
        <v>June</v>
      </c>
      <c r="V152" s="2">
        <f>EOMONTH(tbl_sales3[[#This Row],[Sale_Date]],0)</f>
        <v>45473</v>
      </c>
      <c r="W152" s="1" t="str">
        <f>IF(AND(tbl_sales3[[#This Row],[Sale_Price]]&gt;1000000,tbl_sales3[[#This Row],[Days_on_Market]]&lt;30),"High Demand","Normal")</f>
        <v>Normal</v>
      </c>
    </row>
    <row r="153" spans="1:23" x14ac:dyDescent="0.3">
      <c r="A153" s="1" t="s">
        <v>191</v>
      </c>
      <c r="B153" s="1" t="s">
        <v>37</v>
      </c>
      <c r="C153" s="1" t="s">
        <v>35</v>
      </c>
      <c r="D153">
        <v>1</v>
      </c>
      <c r="E153">
        <v>3</v>
      </c>
      <c r="F153">
        <v>1915</v>
      </c>
      <c r="G153">
        <v>609308</v>
      </c>
      <c r="H153">
        <v>568151</v>
      </c>
      <c r="I153" s="2">
        <v>45387</v>
      </c>
      <c r="J153" s="2">
        <v>45399</v>
      </c>
      <c r="K153">
        <v>12</v>
      </c>
      <c r="L153" s="1" t="s">
        <v>44</v>
      </c>
      <c r="M153" s="1" t="s">
        <v>24</v>
      </c>
      <c r="N153">
        <v>0.05</v>
      </c>
      <c r="O153">
        <v>28407.55</v>
      </c>
      <c r="P153">
        <v>-41157</v>
      </c>
      <c r="Q153" t="str">
        <f>IF(tbl_sales3[[#This Row],[Sale_Price]]&lt;500000,"Budget",
IF(tbl_sales3[[#This Row],[Sale_Price]]&lt;1000000,"Mid-Range",
"Luxury"))</f>
        <v>Mid-Range</v>
      </c>
      <c r="R153" s="4">
        <f>IFERROR(tbl_sales3[[#This Row],[Sale_Price]]*tbl_sales3[[#This Row],[Commission_Rate]],0)</f>
        <v>28407.550000000003</v>
      </c>
      <c r="S153" t="str">
        <f>IF(ABS(tbl_sales3[[#This Row],[Commission_Earned]]-tbl_sales3[[#This Row],[Calculated_Commission]])&lt;0.02,"Correct","Mismatch")</f>
        <v>Correct</v>
      </c>
      <c r="T153">
        <f>YEAR(tbl_sales3[[#This Row],[Sale_Date]])</f>
        <v>2024</v>
      </c>
      <c r="U153" s="1" t="str">
        <f>TEXT(tbl_sales3[[#This Row],[Sale_Date]],"mmmm")</f>
        <v>April</v>
      </c>
      <c r="V153" s="2">
        <f>EOMONTH(tbl_sales3[[#This Row],[Sale_Date]],0)</f>
        <v>45412</v>
      </c>
      <c r="W153" s="1" t="str">
        <f>IF(AND(tbl_sales3[[#This Row],[Sale_Price]]&gt;1000000,tbl_sales3[[#This Row],[Days_on_Market]]&lt;30),"High Demand","Normal")</f>
        <v>Normal</v>
      </c>
    </row>
    <row r="154" spans="1:23" x14ac:dyDescent="0.3">
      <c r="A154" s="1" t="s">
        <v>192</v>
      </c>
      <c r="B154" s="1" t="s">
        <v>32</v>
      </c>
      <c r="C154" s="1" t="s">
        <v>33</v>
      </c>
      <c r="D154">
        <v>5</v>
      </c>
      <c r="E154">
        <v>3</v>
      </c>
      <c r="F154">
        <v>3471</v>
      </c>
      <c r="G154">
        <v>1480284</v>
      </c>
      <c r="H154">
        <v>1408540</v>
      </c>
      <c r="I154" s="2">
        <v>45082</v>
      </c>
      <c r="J154" s="2">
        <v>45162</v>
      </c>
      <c r="K154">
        <v>80</v>
      </c>
      <c r="L154" s="1" t="s">
        <v>27</v>
      </c>
      <c r="M154" s="1" t="s">
        <v>28</v>
      </c>
      <c r="N154">
        <v>0.04</v>
      </c>
      <c r="O154">
        <v>56341.599999999999</v>
      </c>
      <c r="P154">
        <v>-71744</v>
      </c>
      <c r="Q154" t="str">
        <f>IF(tbl_sales3[[#This Row],[Sale_Price]]&lt;500000,"Budget",
IF(tbl_sales3[[#This Row],[Sale_Price]]&lt;1000000,"Mid-Range",
"Luxury"))</f>
        <v>Luxury</v>
      </c>
      <c r="R154" s="4">
        <f>IFERROR(tbl_sales3[[#This Row],[Sale_Price]]*tbl_sales3[[#This Row],[Commission_Rate]],0)</f>
        <v>56341.599999999999</v>
      </c>
      <c r="S154" t="str">
        <f>IF(ABS(tbl_sales3[[#This Row],[Commission_Earned]]-tbl_sales3[[#This Row],[Calculated_Commission]])&lt;0.02,"Correct","Mismatch")</f>
        <v>Correct</v>
      </c>
      <c r="T154">
        <f>YEAR(tbl_sales3[[#This Row],[Sale_Date]])</f>
        <v>2023</v>
      </c>
      <c r="U154" s="1" t="str">
        <f>TEXT(tbl_sales3[[#This Row],[Sale_Date]],"mmmm")</f>
        <v>August</v>
      </c>
      <c r="V154" s="2">
        <f>EOMONTH(tbl_sales3[[#This Row],[Sale_Date]],0)</f>
        <v>45169</v>
      </c>
      <c r="W154" s="1" t="str">
        <f>IF(AND(tbl_sales3[[#This Row],[Sale_Price]]&gt;1000000,tbl_sales3[[#This Row],[Days_on_Market]]&lt;30),"High Demand","Normal")</f>
        <v>Normal</v>
      </c>
    </row>
    <row r="155" spans="1:23" x14ac:dyDescent="0.3">
      <c r="A155" s="1" t="s">
        <v>193</v>
      </c>
      <c r="B155" s="1" t="s">
        <v>26</v>
      </c>
      <c r="C155" s="1" t="s">
        <v>18</v>
      </c>
      <c r="D155">
        <v>2</v>
      </c>
      <c r="E155">
        <v>2</v>
      </c>
      <c r="F155">
        <v>3468</v>
      </c>
      <c r="G155">
        <v>834647</v>
      </c>
      <c r="H155">
        <v>771914</v>
      </c>
      <c r="I155" s="2">
        <v>45295</v>
      </c>
      <c r="J155" s="2">
        <v>45362</v>
      </c>
      <c r="K155">
        <v>67</v>
      </c>
      <c r="L155" s="1" t="s">
        <v>27</v>
      </c>
      <c r="M155" s="1" t="s">
        <v>20</v>
      </c>
      <c r="N155">
        <v>4.4999999999999998E-2</v>
      </c>
      <c r="O155">
        <v>34736.129999999997</v>
      </c>
      <c r="P155">
        <v>-62733</v>
      </c>
      <c r="Q155" t="str">
        <f>IF(tbl_sales3[[#This Row],[Sale_Price]]&lt;500000,"Budget",
IF(tbl_sales3[[#This Row],[Sale_Price]]&lt;1000000,"Mid-Range",
"Luxury"))</f>
        <v>Mid-Range</v>
      </c>
      <c r="R155" s="4">
        <f>IFERROR(tbl_sales3[[#This Row],[Sale_Price]]*tbl_sales3[[#This Row],[Commission_Rate]],0)</f>
        <v>34736.129999999997</v>
      </c>
      <c r="S155" t="str">
        <f>IF(ABS(tbl_sales3[[#This Row],[Commission_Earned]]-tbl_sales3[[#This Row],[Calculated_Commission]])&lt;0.02,"Correct","Mismatch")</f>
        <v>Correct</v>
      </c>
      <c r="T155">
        <f>YEAR(tbl_sales3[[#This Row],[Sale_Date]])</f>
        <v>2024</v>
      </c>
      <c r="U155" s="1" t="str">
        <f>TEXT(tbl_sales3[[#This Row],[Sale_Date]],"mmmm")</f>
        <v>March</v>
      </c>
      <c r="V155" s="2">
        <f>EOMONTH(tbl_sales3[[#This Row],[Sale_Date]],0)</f>
        <v>45382</v>
      </c>
      <c r="W155" s="1" t="str">
        <f>IF(AND(tbl_sales3[[#This Row],[Sale_Price]]&gt;1000000,tbl_sales3[[#This Row],[Days_on_Market]]&lt;30),"High Demand","Normal")</f>
        <v>Normal</v>
      </c>
    </row>
    <row r="156" spans="1:23" x14ac:dyDescent="0.3">
      <c r="A156" s="1" t="s">
        <v>194</v>
      </c>
      <c r="B156" s="1" t="s">
        <v>37</v>
      </c>
      <c r="C156" s="1" t="s">
        <v>33</v>
      </c>
      <c r="D156">
        <v>4</v>
      </c>
      <c r="E156">
        <v>4</v>
      </c>
      <c r="F156">
        <v>3471</v>
      </c>
      <c r="G156">
        <v>1425423</v>
      </c>
      <c r="H156">
        <v>1394904</v>
      </c>
      <c r="I156" s="2">
        <v>45483</v>
      </c>
      <c r="J156" s="2">
        <v>45511</v>
      </c>
      <c r="K156">
        <v>28</v>
      </c>
      <c r="L156" s="1" t="s">
        <v>30</v>
      </c>
      <c r="M156" s="1" t="s">
        <v>20</v>
      </c>
      <c r="N156">
        <v>4.4999999999999998E-2</v>
      </c>
      <c r="O156">
        <v>62770.68</v>
      </c>
      <c r="P156">
        <v>-30519</v>
      </c>
      <c r="Q156" t="str">
        <f>IF(tbl_sales3[[#This Row],[Sale_Price]]&lt;500000,"Budget",
IF(tbl_sales3[[#This Row],[Sale_Price]]&lt;1000000,"Mid-Range",
"Luxury"))</f>
        <v>Luxury</v>
      </c>
      <c r="R156" s="4">
        <f>IFERROR(tbl_sales3[[#This Row],[Sale_Price]]*tbl_sales3[[#This Row],[Commission_Rate]],0)</f>
        <v>62770.68</v>
      </c>
      <c r="S156" t="str">
        <f>IF(ABS(tbl_sales3[[#This Row],[Commission_Earned]]-tbl_sales3[[#This Row],[Calculated_Commission]])&lt;0.02,"Correct","Mismatch")</f>
        <v>Correct</v>
      </c>
      <c r="T156">
        <f>YEAR(tbl_sales3[[#This Row],[Sale_Date]])</f>
        <v>2024</v>
      </c>
      <c r="U156" s="1" t="str">
        <f>TEXT(tbl_sales3[[#This Row],[Sale_Date]],"mmmm")</f>
        <v>August</v>
      </c>
      <c r="V156" s="2">
        <f>EOMONTH(tbl_sales3[[#This Row],[Sale_Date]],0)</f>
        <v>45535</v>
      </c>
      <c r="W156" s="1" t="str">
        <f>IF(AND(tbl_sales3[[#This Row],[Sale_Price]]&gt;1000000,tbl_sales3[[#This Row],[Days_on_Market]]&lt;30),"High Demand","Normal")</f>
        <v>High Demand</v>
      </c>
    </row>
    <row r="157" spans="1:23" x14ac:dyDescent="0.3">
      <c r="A157" s="1" t="s">
        <v>195</v>
      </c>
      <c r="B157" s="1" t="s">
        <v>26</v>
      </c>
      <c r="C157" s="1" t="s">
        <v>38</v>
      </c>
      <c r="D157">
        <v>1</v>
      </c>
      <c r="E157">
        <v>1</v>
      </c>
      <c r="F157">
        <v>1135</v>
      </c>
      <c r="G157">
        <v>974927</v>
      </c>
      <c r="H157">
        <v>932588</v>
      </c>
      <c r="I157" s="2">
        <v>45251</v>
      </c>
      <c r="J157" s="2">
        <v>45335</v>
      </c>
      <c r="K157">
        <v>84</v>
      </c>
      <c r="L157" s="1" t="s">
        <v>42</v>
      </c>
      <c r="M157" s="1" t="s">
        <v>28</v>
      </c>
      <c r="N157">
        <v>0.05</v>
      </c>
      <c r="O157">
        <v>46629.4</v>
      </c>
      <c r="P157">
        <v>-42339</v>
      </c>
      <c r="Q157" t="str">
        <f>IF(tbl_sales3[[#This Row],[Sale_Price]]&lt;500000,"Budget",
IF(tbl_sales3[[#This Row],[Sale_Price]]&lt;1000000,"Mid-Range",
"Luxury"))</f>
        <v>Mid-Range</v>
      </c>
      <c r="R157" s="4">
        <f>IFERROR(tbl_sales3[[#This Row],[Sale_Price]]*tbl_sales3[[#This Row],[Commission_Rate]],0)</f>
        <v>46629.4</v>
      </c>
      <c r="S157" t="str">
        <f>IF(ABS(tbl_sales3[[#This Row],[Commission_Earned]]-tbl_sales3[[#This Row],[Calculated_Commission]])&lt;0.02,"Correct","Mismatch")</f>
        <v>Correct</v>
      </c>
      <c r="T157">
        <f>YEAR(tbl_sales3[[#This Row],[Sale_Date]])</f>
        <v>2024</v>
      </c>
      <c r="U157" s="1" t="str">
        <f>TEXT(tbl_sales3[[#This Row],[Sale_Date]],"mmmm")</f>
        <v>February</v>
      </c>
      <c r="V157" s="2">
        <f>EOMONTH(tbl_sales3[[#This Row],[Sale_Date]],0)</f>
        <v>45351</v>
      </c>
      <c r="W157" s="1" t="str">
        <f>IF(AND(tbl_sales3[[#This Row],[Sale_Price]]&gt;1000000,tbl_sales3[[#This Row],[Days_on_Market]]&lt;30),"High Demand","Normal")</f>
        <v>Normal</v>
      </c>
    </row>
    <row r="158" spans="1:23" x14ac:dyDescent="0.3">
      <c r="A158" s="1" t="s">
        <v>196</v>
      </c>
      <c r="B158" s="1" t="s">
        <v>37</v>
      </c>
      <c r="C158" s="1" t="s">
        <v>18</v>
      </c>
      <c r="D158">
        <v>2</v>
      </c>
      <c r="E158">
        <v>4</v>
      </c>
      <c r="F158">
        <v>948</v>
      </c>
      <c r="G158">
        <v>985287</v>
      </c>
      <c r="H158">
        <v>912411</v>
      </c>
      <c r="I158" s="2">
        <v>45571</v>
      </c>
      <c r="J158" s="2">
        <v>45628</v>
      </c>
      <c r="K158">
        <v>57</v>
      </c>
      <c r="L158" s="1" t="s">
        <v>44</v>
      </c>
      <c r="M158" s="1" t="s">
        <v>20</v>
      </c>
      <c r="N158">
        <v>0.05</v>
      </c>
      <c r="O158">
        <v>45620.55</v>
      </c>
      <c r="P158">
        <v>-72876</v>
      </c>
      <c r="Q158" t="str">
        <f>IF(tbl_sales3[[#This Row],[Sale_Price]]&lt;500000,"Budget",
IF(tbl_sales3[[#This Row],[Sale_Price]]&lt;1000000,"Mid-Range",
"Luxury"))</f>
        <v>Mid-Range</v>
      </c>
      <c r="R158" s="4">
        <f>IFERROR(tbl_sales3[[#This Row],[Sale_Price]]*tbl_sales3[[#This Row],[Commission_Rate]],0)</f>
        <v>45620.55</v>
      </c>
      <c r="S158" t="str">
        <f>IF(ABS(tbl_sales3[[#This Row],[Commission_Earned]]-tbl_sales3[[#This Row],[Calculated_Commission]])&lt;0.02,"Correct","Mismatch")</f>
        <v>Correct</v>
      </c>
      <c r="T158">
        <f>YEAR(tbl_sales3[[#This Row],[Sale_Date]])</f>
        <v>2024</v>
      </c>
      <c r="U158" s="1" t="str">
        <f>TEXT(tbl_sales3[[#This Row],[Sale_Date]],"mmmm")</f>
        <v>December</v>
      </c>
      <c r="V158" s="2">
        <f>EOMONTH(tbl_sales3[[#This Row],[Sale_Date]],0)</f>
        <v>45657</v>
      </c>
      <c r="W158" s="1" t="str">
        <f>IF(AND(tbl_sales3[[#This Row],[Sale_Price]]&gt;1000000,tbl_sales3[[#This Row],[Days_on_Market]]&lt;30),"High Demand","Normal")</f>
        <v>Normal</v>
      </c>
    </row>
    <row r="159" spans="1:23" x14ac:dyDescent="0.3">
      <c r="A159" s="1" t="s">
        <v>197</v>
      </c>
      <c r="B159" s="1" t="s">
        <v>59</v>
      </c>
      <c r="C159" s="1" t="s">
        <v>35</v>
      </c>
      <c r="D159">
        <v>3</v>
      </c>
      <c r="E159">
        <v>2</v>
      </c>
      <c r="F159">
        <v>1194</v>
      </c>
      <c r="G159">
        <v>498469</v>
      </c>
      <c r="H159">
        <v>463849</v>
      </c>
      <c r="I159" s="2">
        <v>45143</v>
      </c>
      <c r="J159" s="2">
        <v>45225</v>
      </c>
      <c r="K159">
        <v>82</v>
      </c>
      <c r="L159" s="1" t="s">
        <v>51</v>
      </c>
      <c r="M159" s="1" t="s">
        <v>20</v>
      </c>
      <c r="N159">
        <v>0.04</v>
      </c>
      <c r="O159">
        <v>18553.96</v>
      </c>
      <c r="P159">
        <v>-34620</v>
      </c>
      <c r="Q159" t="str">
        <f>IF(tbl_sales3[[#This Row],[Sale_Price]]&lt;500000,"Budget",
IF(tbl_sales3[[#This Row],[Sale_Price]]&lt;1000000,"Mid-Range",
"Luxury"))</f>
        <v>Budget</v>
      </c>
      <c r="R159" s="4">
        <f>IFERROR(tbl_sales3[[#This Row],[Sale_Price]]*tbl_sales3[[#This Row],[Commission_Rate]],0)</f>
        <v>18553.96</v>
      </c>
      <c r="S159" t="str">
        <f>IF(ABS(tbl_sales3[[#This Row],[Commission_Earned]]-tbl_sales3[[#This Row],[Calculated_Commission]])&lt;0.02,"Correct","Mismatch")</f>
        <v>Correct</v>
      </c>
      <c r="T159">
        <f>YEAR(tbl_sales3[[#This Row],[Sale_Date]])</f>
        <v>2023</v>
      </c>
      <c r="U159" s="1" t="str">
        <f>TEXT(tbl_sales3[[#This Row],[Sale_Date]],"mmmm")</f>
        <v>October</v>
      </c>
      <c r="V159" s="2">
        <f>EOMONTH(tbl_sales3[[#This Row],[Sale_Date]],0)</f>
        <v>45230</v>
      </c>
      <c r="W159" s="1" t="str">
        <f>IF(AND(tbl_sales3[[#This Row],[Sale_Price]]&gt;1000000,tbl_sales3[[#This Row],[Days_on_Market]]&lt;30),"High Demand","Normal")</f>
        <v>Normal</v>
      </c>
    </row>
    <row r="160" spans="1:23" x14ac:dyDescent="0.3">
      <c r="A160" s="1" t="s">
        <v>198</v>
      </c>
      <c r="B160" s="1" t="s">
        <v>32</v>
      </c>
      <c r="C160" s="1" t="s">
        <v>23</v>
      </c>
      <c r="D160">
        <v>5</v>
      </c>
      <c r="E160">
        <v>4</v>
      </c>
      <c r="F160">
        <v>1573</v>
      </c>
      <c r="G160">
        <v>811759</v>
      </c>
      <c r="H160">
        <v>733007</v>
      </c>
      <c r="I160" s="2">
        <v>45442</v>
      </c>
      <c r="J160" s="2">
        <v>45524</v>
      </c>
      <c r="K160">
        <v>82</v>
      </c>
      <c r="L160" s="1" t="s">
        <v>42</v>
      </c>
      <c r="M160" s="1" t="s">
        <v>24</v>
      </c>
      <c r="N160">
        <v>0.04</v>
      </c>
      <c r="O160">
        <v>29320.28</v>
      </c>
      <c r="P160">
        <v>-78752</v>
      </c>
      <c r="Q160" t="str">
        <f>IF(tbl_sales3[[#This Row],[Sale_Price]]&lt;500000,"Budget",
IF(tbl_sales3[[#This Row],[Sale_Price]]&lt;1000000,"Mid-Range",
"Luxury"))</f>
        <v>Mid-Range</v>
      </c>
      <c r="R160" s="4">
        <f>IFERROR(tbl_sales3[[#This Row],[Sale_Price]]*tbl_sales3[[#This Row],[Commission_Rate]],0)</f>
        <v>29320.28</v>
      </c>
      <c r="S160" t="str">
        <f>IF(ABS(tbl_sales3[[#This Row],[Commission_Earned]]-tbl_sales3[[#This Row],[Calculated_Commission]])&lt;0.02,"Correct","Mismatch")</f>
        <v>Correct</v>
      </c>
      <c r="T160">
        <f>YEAR(tbl_sales3[[#This Row],[Sale_Date]])</f>
        <v>2024</v>
      </c>
      <c r="U160" s="1" t="str">
        <f>TEXT(tbl_sales3[[#This Row],[Sale_Date]],"mmmm")</f>
        <v>August</v>
      </c>
      <c r="V160" s="2">
        <f>EOMONTH(tbl_sales3[[#This Row],[Sale_Date]],0)</f>
        <v>45535</v>
      </c>
      <c r="W160" s="1" t="str">
        <f>IF(AND(tbl_sales3[[#This Row],[Sale_Price]]&gt;1000000,tbl_sales3[[#This Row],[Days_on_Market]]&lt;30),"High Demand","Normal")</f>
        <v>Normal</v>
      </c>
    </row>
    <row r="161" spans="1:23" x14ac:dyDescent="0.3">
      <c r="A161" s="1" t="s">
        <v>199</v>
      </c>
      <c r="B161" s="1" t="s">
        <v>32</v>
      </c>
      <c r="C161" s="1" t="s">
        <v>35</v>
      </c>
      <c r="D161">
        <v>4</v>
      </c>
      <c r="E161">
        <v>2</v>
      </c>
      <c r="F161">
        <v>3304</v>
      </c>
      <c r="G161">
        <v>924361</v>
      </c>
      <c r="H161">
        <v>918358</v>
      </c>
      <c r="I161" s="2">
        <v>45096</v>
      </c>
      <c r="J161" s="2">
        <v>45129</v>
      </c>
      <c r="K161">
        <v>33</v>
      </c>
      <c r="L161" s="1" t="s">
        <v>19</v>
      </c>
      <c r="M161" s="1" t="s">
        <v>20</v>
      </c>
      <c r="N161">
        <v>4.4999999999999998E-2</v>
      </c>
      <c r="O161">
        <v>41326.11</v>
      </c>
      <c r="P161">
        <v>-6003</v>
      </c>
      <c r="Q161" t="str">
        <f>IF(tbl_sales3[[#This Row],[Sale_Price]]&lt;500000,"Budget",
IF(tbl_sales3[[#This Row],[Sale_Price]]&lt;1000000,"Mid-Range",
"Luxury"))</f>
        <v>Mid-Range</v>
      </c>
      <c r="R161" s="4">
        <f>IFERROR(tbl_sales3[[#This Row],[Sale_Price]]*tbl_sales3[[#This Row],[Commission_Rate]],0)</f>
        <v>41326.11</v>
      </c>
      <c r="S161" t="str">
        <f>IF(ABS(tbl_sales3[[#This Row],[Commission_Earned]]-tbl_sales3[[#This Row],[Calculated_Commission]])&lt;0.02,"Correct","Mismatch")</f>
        <v>Correct</v>
      </c>
      <c r="T161">
        <f>YEAR(tbl_sales3[[#This Row],[Sale_Date]])</f>
        <v>2023</v>
      </c>
      <c r="U161" s="1" t="str">
        <f>TEXT(tbl_sales3[[#This Row],[Sale_Date]],"mmmm")</f>
        <v>July</v>
      </c>
      <c r="V161" s="2">
        <f>EOMONTH(tbl_sales3[[#This Row],[Sale_Date]],0)</f>
        <v>45138</v>
      </c>
      <c r="W161" s="1" t="str">
        <f>IF(AND(tbl_sales3[[#This Row],[Sale_Price]]&gt;1000000,tbl_sales3[[#This Row],[Days_on_Market]]&lt;30),"High Demand","Normal")</f>
        <v>Normal</v>
      </c>
    </row>
    <row r="162" spans="1:23" x14ac:dyDescent="0.3">
      <c r="A162" s="1" t="s">
        <v>200</v>
      </c>
      <c r="B162" s="1" t="s">
        <v>41</v>
      </c>
      <c r="C162" s="1" t="s">
        <v>35</v>
      </c>
      <c r="D162">
        <v>5</v>
      </c>
      <c r="E162">
        <v>4</v>
      </c>
      <c r="F162">
        <v>3211</v>
      </c>
      <c r="G162">
        <v>1450858</v>
      </c>
      <c r="H162">
        <v>1418978</v>
      </c>
      <c r="I162" s="2">
        <v>45177</v>
      </c>
      <c r="J162" s="2">
        <v>45252</v>
      </c>
      <c r="K162">
        <v>75</v>
      </c>
      <c r="L162" s="1" t="s">
        <v>51</v>
      </c>
      <c r="M162" s="1" t="s">
        <v>24</v>
      </c>
      <c r="N162">
        <v>0.05</v>
      </c>
      <c r="O162">
        <v>70948.899999999994</v>
      </c>
      <c r="P162">
        <v>-31880</v>
      </c>
      <c r="Q162" t="str">
        <f>IF(tbl_sales3[[#This Row],[Sale_Price]]&lt;500000,"Budget",
IF(tbl_sales3[[#This Row],[Sale_Price]]&lt;1000000,"Mid-Range",
"Luxury"))</f>
        <v>Luxury</v>
      </c>
      <c r="R162" s="4">
        <f>IFERROR(tbl_sales3[[#This Row],[Sale_Price]]*tbl_sales3[[#This Row],[Commission_Rate]],0)</f>
        <v>70948.900000000009</v>
      </c>
      <c r="S162" t="str">
        <f>IF(ABS(tbl_sales3[[#This Row],[Commission_Earned]]-tbl_sales3[[#This Row],[Calculated_Commission]])&lt;0.02,"Correct","Mismatch")</f>
        <v>Correct</v>
      </c>
      <c r="T162">
        <f>YEAR(tbl_sales3[[#This Row],[Sale_Date]])</f>
        <v>2023</v>
      </c>
      <c r="U162" s="1" t="str">
        <f>TEXT(tbl_sales3[[#This Row],[Sale_Date]],"mmmm")</f>
        <v>November</v>
      </c>
      <c r="V162" s="2">
        <f>EOMONTH(tbl_sales3[[#This Row],[Sale_Date]],0)</f>
        <v>45260</v>
      </c>
      <c r="W162" s="1" t="str">
        <f>IF(AND(tbl_sales3[[#This Row],[Sale_Price]]&gt;1000000,tbl_sales3[[#This Row],[Days_on_Market]]&lt;30),"High Demand","Normal")</f>
        <v>Normal</v>
      </c>
    </row>
    <row r="163" spans="1:23" x14ac:dyDescent="0.3">
      <c r="A163" s="1" t="s">
        <v>201</v>
      </c>
      <c r="B163" s="1" t="s">
        <v>48</v>
      </c>
      <c r="C163" s="1" t="s">
        <v>38</v>
      </c>
      <c r="D163">
        <v>1</v>
      </c>
      <c r="E163">
        <v>1</v>
      </c>
      <c r="F163">
        <v>1556</v>
      </c>
      <c r="G163">
        <v>1302469</v>
      </c>
      <c r="H163">
        <v>1267831</v>
      </c>
      <c r="I163" s="2">
        <v>45472</v>
      </c>
      <c r="J163" s="2">
        <v>45481</v>
      </c>
      <c r="K163">
        <v>9</v>
      </c>
      <c r="L163" s="1" t="s">
        <v>39</v>
      </c>
      <c r="M163" s="1" t="s">
        <v>20</v>
      </c>
      <c r="N163">
        <v>0.05</v>
      </c>
      <c r="O163">
        <v>63391.55</v>
      </c>
      <c r="P163">
        <v>-34638</v>
      </c>
      <c r="Q163" t="str">
        <f>IF(tbl_sales3[[#This Row],[Sale_Price]]&lt;500000,"Budget",
IF(tbl_sales3[[#This Row],[Sale_Price]]&lt;1000000,"Mid-Range",
"Luxury"))</f>
        <v>Luxury</v>
      </c>
      <c r="R163" s="4">
        <f>IFERROR(tbl_sales3[[#This Row],[Sale_Price]]*tbl_sales3[[#This Row],[Commission_Rate]],0)</f>
        <v>63391.55</v>
      </c>
      <c r="S163" t="str">
        <f>IF(ABS(tbl_sales3[[#This Row],[Commission_Earned]]-tbl_sales3[[#This Row],[Calculated_Commission]])&lt;0.02,"Correct","Mismatch")</f>
        <v>Correct</v>
      </c>
      <c r="T163">
        <f>YEAR(tbl_sales3[[#This Row],[Sale_Date]])</f>
        <v>2024</v>
      </c>
      <c r="U163" s="1" t="str">
        <f>TEXT(tbl_sales3[[#This Row],[Sale_Date]],"mmmm")</f>
        <v>July</v>
      </c>
      <c r="V163" s="2">
        <f>EOMONTH(tbl_sales3[[#This Row],[Sale_Date]],0)</f>
        <v>45504</v>
      </c>
      <c r="W163" s="1" t="str">
        <f>IF(AND(tbl_sales3[[#This Row],[Sale_Price]]&gt;1000000,tbl_sales3[[#This Row],[Days_on_Market]]&lt;30),"High Demand","Normal")</f>
        <v>High Demand</v>
      </c>
    </row>
    <row r="164" spans="1:23" x14ac:dyDescent="0.3">
      <c r="A164" s="1" t="s">
        <v>202</v>
      </c>
      <c r="B164" s="1" t="s">
        <v>41</v>
      </c>
      <c r="C164" s="1" t="s">
        <v>35</v>
      </c>
      <c r="D164">
        <v>2</v>
      </c>
      <c r="E164">
        <v>4</v>
      </c>
      <c r="F164">
        <v>690</v>
      </c>
      <c r="G164">
        <v>1740421</v>
      </c>
      <c r="H164">
        <v>1687673</v>
      </c>
      <c r="I164" s="2">
        <v>45099</v>
      </c>
      <c r="J164" s="2">
        <v>45156</v>
      </c>
      <c r="K164">
        <v>57</v>
      </c>
      <c r="L164" s="1" t="s">
        <v>39</v>
      </c>
      <c r="M164" s="1" t="s">
        <v>24</v>
      </c>
      <c r="N164">
        <v>4.4999999999999998E-2</v>
      </c>
      <c r="O164">
        <v>75945.289999999994</v>
      </c>
      <c r="P164">
        <v>-52748</v>
      </c>
      <c r="Q164" t="str">
        <f>IF(tbl_sales3[[#This Row],[Sale_Price]]&lt;500000,"Budget",
IF(tbl_sales3[[#This Row],[Sale_Price]]&lt;1000000,"Mid-Range",
"Luxury"))</f>
        <v>Luxury</v>
      </c>
      <c r="R164" s="4">
        <f>IFERROR(tbl_sales3[[#This Row],[Sale_Price]]*tbl_sales3[[#This Row],[Commission_Rate]],0)</f>
        <v>75945.285000000003</v>
      </c>
      <c r="S164" t="str">
        <f>IF(ABS(tbl_sales3[[#This Row],[Commission_Earned]]-tbl_sales3[[#This Row],[Calculated_Commission]])&lt;0.02,"Correct","Mismatch")</f>
        <v>Correct</v>
      </c>
      <c r="T164">
        <f>YEAR(tbl_sales3[[#This Row],[Sale_Date]])</f>
        <v>2023</v>
      </c>
      <c r="U164" s="1" t="str">
        <f>TEXT(tbl_sales3[[#This Row],[Sale_Date]],"mmmm")</f>
        <v>August</v>
      </c>
      <c r="V164" s="2">
        <f>EOMONTH(tbl_sales3[[#This Row],[Sale_Date]],0)</f>
        <v>45169</v>
      </c>
      <c r="W164" s="1" t="str">
        <f>IF(AND(tbl_sales3[[#This Row],[Sale_Price]]&gt;1000000,tbl_sales3[[#This Row],[Days_on_Market]]&lt;30),"High Demand","Normal")</f>
        <v>Normal</v>
      </c>
    </row>
    <row r="165" spans="1:23" x14ac:dyDescent="0.3">
      <c r="A165" s="1" t="s">
        <v>203</v>
      </c>
      <c r="B165" s="1" t="s">
        <v>32</v>
      </c>
      <c r="C165" s="1" t="s">
        <v>35</v>
      </c>
      <c r="D165">
        <v>4</v>
      </c>
      <c r="E165">
        <v>4</v>
      </c>
      <c r="F165">
        <v>3459</v>
      </c>
      <c r="G165">
        <v>457225</v>
      </c>
      <c r="H165">
        <v>401904</v>
      </c>
      <c r="I165" s="2">
        <v>44949</v>
      </c>
      <c r="J165" s="2">
        <v>45007</v>
      </c>
      <c r="K165">
        <v>58</v>
      </c>
      <c r="L165" s="1" t="s">
        <v>53</v>
      </c>
      <c r="M165" s="1" t="s">
        <v>28</v>
      </c>
      <c r="N165">
        <v>0.05</v>
      </c>
      <c r="O165">
        <v>20095.2</v>
      </c>
      <c r="P165">
        <v>-55321</v>
      </c>
      <c r="Q165" t="str">
        <f>IF(tbl_sales3[[#This Row],[Sale_Price]]&lt;500000,"Budget",
IF(tbl_sales3[[#This Row],[Sale_Price]]&lt;1000000,"Mid-Range",
"Luxury"))</f>
        <v>Budget</v>
      </c>
      <c r="R165" s="4">
        <f>IFERROR(tbl_sales3[[#This Row],[Sale_Price]]*tbl_sales3[[#This Row],[Commission_Rate]],0)</f>
        <v>20095.2</v>
      </c>
      <c r="S165" t="str">
        <f>IF(ABS(tbl_sales3[[#This Row],[Commission_Earned]]-tbl_sales3[[#This Row],[Calculated_Commission]])&lt;0.02,"Correct","Mismatch")</f>
        <v>Correct</v>
      </c>
      <c r="T165">
        <f>YEAR(tbl_sales3[[#This Row],[Sale_Date]])</f>
        <v>2023</v>
      </c>
      <c r="U165" s="1" t="str">
        <f>TEXT(tbl_sales3[[#This Row],[Sale_Date]],"mmmm")</f>
        <v>March</v>
      </c>
      <c r="V165" s="2">
        <f>EOMONTH(tbl_sales3[[#This Row],[Sale_Date]],0)</f>
        <v>45016</v>
      </c>
      <c r="W165" s="1" t="str">
        <f>IF(AND(tbl_sales3[[#This Row],[Sale_Price]]&gt;1000000,tbl_sales3[[#This Row],[Days_on_Market]]&lt;30),"High Demand","Normal")</f>
        <v>Normal</v>
      </c>
    </row>
    <row r="166" spans="1:23" x14ac:dyDescent="0.3">
      <c r="A166" s="1" t="s">
        <v>204</v>
      </c>
      <c r="B166" s="1" t="s">
        <v>48</v>
      </c>
      <c r="C166" s="1" t="s">
        <v>38</v>
      </c>
      <c r="D166">
        <v>3</v>
      </c>
      <c r="E166">
        <v>4</v>
      </c>
      <c r="F166">
        <v>940</v>
      </c>
      <c r="G166">
        <v>1445191</v>
      </c>
      <c r="H166">
        <v>1417315</v>
      </c>
      <c r="I166" s="2">
        <v>45449</v>
      </c>
      <c r="J166" s="2">
        <v>45517</v>
      </c>
      <c r="K166">
        <v>68</v>
      </c>
      <c r="L166" s="1" t="s">
        <v>30</v>
      </c>
      <c r="M166" s="1" t="s">
        <v>24</v>
      </c>
      <c r="N166">
        <v>0.05</v>
      </c>
      <c r="O166">
        <v>70865.75</v>
      </c>
      <c r="P166">
        <v>-27876</v>
      </c>
      <c r="Q166" t="str">
        <f>IF(tbl_sales3[[#This Row],[Sale_Price]]&lt;500000,"Budget",
IF(tbl_sales3[[#This Row],[Sale_Price]]&lt;1000000,"Mid-Range",
"Luxury"))</f>
        <v>Luxury</v>
      </c>
      <c r="R166" s="4">
        <f>IFERROR(tbl_sales3[[#This Row],[Sale_Price]]*tbl_sales3[[#This Row],[Commission_Rate]],0)</f>
        <v>70865.75</v>
      </c>
      <c r="S166" t="str">
        <f>IF(ABS(tbl_sales3[[#This Row],[Commission_Earned]]-tbl_sales3[[#This Row],[Calculated_Commission]])&lt;0.02,"Correct","Mismatch")</f>
        <v>Correct</v>
      </c>
      <c r="T166">
        <f>YEAR(tbl_sales3[[#This Row],[Sale_Date]])</f>
        <v>2024</v>
      </c>
      <c r="U166" s="1" t="str">
        <f>TEXT(tbl_sales3[[#This Row],[Sale_Date]],"mmmm")</f>
        <v>August</v>
      </c>
      <c r="V166" s="2">
        <f>EOMONTH(tbl_sales3[[#This Row],[Sale_Date]],0)</f>
        <v>45535</v>
      </c>
      <c r="W166" s="1" t="str">
        <f>IF(AND(tbl_sales3[[#This Row],[Sale_Price]]&gt;1000000,tbl_sales3[[#This Row],[Days_on_Market]]&lt;30),"High Demand","Normal")</f>
        <v>Normal</v>
      </c>
    </row>
    <row r="167" spans="1:23" x14ac:dyDescent="0.3">
      <c r="A167" s="1" t="s">
        <v>205</v>
      </c>
      <c r="B167" s="1" t="s">
        <v>17</v>
      </c>
      <c r="C167" s="1" t="s">
        <v>23</v>
      </c>
      <c r="D167">
        <v>2</v>
      </c>
      <c r="E167">
        <v>1</v>
      </c>
      <c r="F167">
        <v>733</v>
      </c>
      <c r="G167">
        <v>514165</v>
      </c>
      <c r="H167">
        <v>450760</v>
      </c>
      <c r="I167" s="2">
        <v>45479</v>
      </c>
      <c r="J167" s="2">
        <v>45517</v>
      </c>
      <c r="K167">
        <v>38</v>
      </c>
      <c r="L167" s="1" t="s">
        <v>42</v>
      </c>
      <c r="M167" s="1" t="s">
        <v>24</v>
      </c>
      <c r="N167">
        <v>4.4999999999999998E-2</v>
      </c>
      <c r="O167">
        <v>20284.2</v>
      </c>
      <c r="P167">
        <v>-63405</v>
      </c>
      <c r="Q167" t="str">
        <f>IF(tbl_sales3[[#This Row],[Sale_Price]]&lt;500000,"Budget",
IF(tbl_sales3[[#This Row],[Sale_Price]]&lt;1000000,"Mid-Range",
"Luxury"))</f>
        <v>Budget</v>
      </c>
      <c r="R167" s="4">
        <f>IFERROR(tbl_sales3[[#This Row],[Sale_Price]]*tbl_sales3[[#This Row],[Commission_Rate]],0)</f>
        <v>20284.2</v>
      </c>
      <c r="S167" t="str">
        <f>IF(ABS(tbl_sales3[[#This Row],[Commission_Earned]]-tbl_sales3[[#This Row],[Calculated_Commission]])&lt;0.02,"Correct","Mismatch")</f>
        <v>Correct</v>
      </c>
      <c r="T167">
        <f>YEAR(tbl_sales3[[#This Row],[Sale_Date]])</f>
        <v>2024</v>
      </c>
      <c r="U167" s="1" t="str">
        <f>TEXT(tbl_sales3[[#This Row],[Sale_Date]],"mmmm")</f>
        <v>August</v>
      </c>
      <c r="V167" s="2">
        <f>EOMONTH(tbl_sales3[[#This Row],[Sale_Date]],0)</f>
        <v>45535</v>
      </c>
      <c r="W167" s="1" t="str">
        <f>IF(AND(tbl_sales3[[#This Row],[Sale_Price]]&gt;1000000,tbl_sales3[[#This Row],[Days_on_Market]]&lt;30),"High Demand","Normal")</f>
        <v>Normal</v>
      </c>
    </row>
    <row r="168" spans="1:23" x14ac:dyDescent="0.3">
      <c r="A168" s="1" t="s">
        <v>206</v>
      </c>
      <c r="B168" s="1" t="s">
        <v>22</v>
      </c>
      <c r="C168" s="1" t="s">
        <v>38</v>
      </c>
      <c r="D168">
        <v>2</v>
      </c>
      <c r="E168">
        <v>3</v>
      </c>
      <c r="F168">
        <v>3468</v>
      </c>
      <c r="G168">
        <v>1562521</v>
      </c>
      <c r="H168">
        <v>1499188</v>
      </c>
      <c r="I168" s="2">
        <v>45388</v>
      </c>
      <c r="J168" s="2">
        <v>45478</v>
      </c>
      <c r="K168">
        <v>90</v>
      </c>
      <c r="L168" s="1" t="s">
        <v>44</v>
      </c>
      <c r="M168" s="1" t="s">
        <v>24</v>
      </c>
      <c r="N168">
        <v>4.4999999999999998E-2</v>
      </c>
      <c r="O168">
        <v>67463.460000000006</v>
      </c>
      <c r="P168">
        <v>-63333</v>
      </c>
      <c r="Q168" t="str">
        <f>IF(tbl_sales3[[#This Row],[Sale_Price]]&lt;500000,"Budget",
IF(tbl_sales3[[#This Row],[Sale_Price]]&lt;1000000,"Mid-Range",
"Luxury"))</f>
        <v>Luxury</v>
      </c>
      <c r="R168" s="4">
        <f>IFERROR(tbl_sales3[[#This Row],[Sale_Price]]*tbl_sales3[[#This Row],[Commission_Rate]],0)</f>
        <v>67463.459999999992</v>
      </c>
      <c r="S168" t="str">
        <f>IF(ABS(tbl_sales3[[#This Row],[Commission_Earned]]-tbl_sales3[[#This Row],[Calculated_Commission]])&lt;0.02,"Correct","Mismatch")</f>
        <v>Correct</v>
      </c>
      <c r="T168">
        <f>YEAR(tbl_sales3[[#This Row],[Sale_Date]])</f>
        <v>2024</v>
      </c>
      <c r="U168" s="1" t="str">
        <f>TEXT(tbl_sales3[[#This Row],[Sale_Date]],"mmmm")</f>
        <v>July</v>
      </c>
      <c r="V168" s="2">
        <f>EOMONTH(tbl_sales3[[#This Row],[Sale_Date]],0)</f>
        <v>45504</v>
      </c>
      <c r="W168" s="1" t="str">
        <f>IF(AND(tbl_sales3[[#This Row],[Sale_Price]]&gt;1000000,tbl_sales3[[#This Row],[Days_on_Market]]&lt;30),"High Demand","Normal")</f>
        <v>Normal</v>
      </c>
    </row>
    <row r="169" spans="1:23" x14ac:dyDescent="0.3">
      <c r="A169" s="1" t="s">
        <v>207</v>
      </c>
      <c r="B169" s="1" t="s">
        <v>26</v>
      </c>
      <c r="C169" s="1" t="s">
        <v>38</v>
      </c>
      <c r="D169">
        <v>2</v>
      </c>
      <c r="E169">
        <v>1</v>
      </c>
      <c r="F169">
        <v>3020</v>
      </c>
      <c r="G169">
        <v>1298693</v>
      </c>
      <c r="H169">
        <v>1234269</v>
      </c>
      <c r="I169" s="2">
        <v>45128</v>
      </c>
      <c r="J169" s="2">
        <v>45191</v>
      </c>
      <c r="K169">
        <v>63</v>
      </c>
      <c r="L169" s="1" t="s">
        <v>39</v>
      </c>
      <c r="M169" s="1" t="s">
        <v>24</v>
      </c>
      <c r="N169">
        <v>0.04</v>
      </c>
      <c r="O169">
        <v>49370.76</v>
      </c>
      <c r="P169">
        <v>-64424</v>
      </c>
      <c r="Q169" t="str">
        <f>IF(tbl_sales3[[#This Row],[Sale_Price]]&lt;500000,"Budget",
IF(tbl_sales3[[#This Row],[Sale_Price]]&lt;1000000,"Mid-Range",
"Luxury"))</f>
        <v>Luxury</v>
      </c>
      <c r="R169" s="4">
        <f>IFERROR(tbl_sales3[[#This Row],[Sale_Price]]*tbl_sales3[[#This Row],[Commission_Rate]],0)</f>
        <v>49370.76</v>
      </c>
      <c r="S169" t="str">
        <f>IF(ABS(tbl_sales3[[#This Row],[Commission_Earned]]-tbl_sales3[[#This Row],[Calculated_Commission]])&lt;0.02,"Correct","Mismatch")</f>
        <v>Correct</v>
      </c>
      <c r="T169">
        <f>YEAR(tbl_sales3[[#This Row],[Sale_Date]])</f>
        <v>2023</v>
      </c>
      <c r="U169" s="1" t="str">
        <f>TEXT(tbl_sales3[[#This Row],[Sale_Date]],"mmmm")</f>
        <v>September</v>
      </c>
      <c r="V169" s="2">
        <f>EOMONTH(tbl_sales3[[#This Row],[Sale_Date]],0)</f>
        <v>45199</v>
      </c>
      <c r="W169" s="1" t="str">
        <f>IF(AND(tbl_sales3[[#This Row],[Sale_Price]]&gt;1000000,tbl_sales3[[#This Row],[Days_on_Market]]&lt;30),"High Demand","Normal")</f>
        <v>Normal</v>
      </c>
    </row>
    <row r="170" spans="1:23" x14ac:dyDescent="0.3">
      <c r="A170" s="1" t="s">
        <v>208</v>
      </c>
      <c r="B170" s="1" t="s">
        <v>17</v>
      </c>
      <c r="C170" s="1" t="s">
        <v>23</v>
      </c>
      <c r="D170">
        <v>1</v>
      </c>
      <c r="E170">
        <v>2</v>
      </c>
      <c r="F170">
        <v>1406</v>
      </c>
      <c r="G170">
        <v>881502</v>
      </c>
      <c r="H170">
        <v>880592</v>
      </c>
      <c r="I170" s="2">
        <v>45597</v>
      </c>
      <c r="J170" s="2">
        <v>45673</v>
      </c>
      <c r="K170">
        <v>76</v>
      </c>
      <c r="L170" s="1" t="s">
        <v>44</v>
      </c>
      <c r="M170" s="1" t="s">
        <v>28</v>
      </c>
      <c r="N170">
        <v>0.05</v>
      </c>
      <c r="O170">
        <v>44029.599999999999</v>
      </c>
      <c r="P170">
        <v>-910</v>
      </c>
      <c r="Q170" t="str">
        <f>IF(tbl_sales3[[#This Row],[Sale_Price]]&lt;500000,"Budget",
IF(tbl_sales3[[#This Row],[Sale_Price]]&lt;1000000,"Mid-Range",
"Luxury"))</f>
        <v>Mid-Range</v>
      </c>
      <c r="R170" s="4">
        <f>IFERROR(tbl_sales3[[#This Row],[Sale_Price]]*tbl_sales3[[#This Row],[Commission_Rate]],0)</f>
        <v>44029.600000000006</v>
      </c>
      <c r="S170" t="str">
        <f>IF(ABS(tbl_sales3[[#This Row],[Commission_Earned]]-tbl_sales3[[#This Row],[Calculated_Commission]])&lt;0.02,"Correct","Mismatch")</f>
        <v>Correct</v>
      </c>
      <c r="T170">
        <f>YEAR(tbl_sales3[[#This Row],[Sale_Date]])</f>
        <v>2025</v>
      </c>
      <c r="U170" s="1" t="str">
        <f>TEXT(tbl_sales3[[#This Row],[Sale_Date]],"mmmm")</f>
        <v>January</v>
      </c>
      <c r="V170" s="2">
        <f>EOMONTH(tbl_sales3[[#This Row],[Sale_Date]],0)</f>
        <v>45688</v>
      </c>
      <c r="W170" s="1" t="str">
        <f>IF(AND(tbl_sales3[[#This Row],[Sale_Price]]&gt;1000000,tbl_sales3[[#This Row],[Days_on_Market]]&lt;30),"High Demand","Normal")</f>
        <v>Normal</v>
      </c>
    </row>
    <row r="171" spans="1:23" x14ac:dyDescent="0.3">
      <c r="A171" s="1" t="s">
        <v>209</v>
      </c>
      <c r="B171" s="1" t="s">
        <v>17</v>
      </c>
      <c r="C171" s="1" t="s">
        <v>18</v>
      </c>
      <c r="D171">
        <v>4</v>
      </c>
      <c r="E171">
        <v>4</v>
      </c>
      <c r="F171">
        <v>2962</v>
      </c>
      <c r="G171">
        <v>1377550</v>
      </c>
      <c r="H171">
        <v>1363274</v>
      </c>
      <c r="I171" s="2">
        <v>45404</v>
      </c>
      <c r="J171" s="2">
        <v>45491</v>
      </c>
      <c r="K171">
        <v>87</v>
      </c>
      <c r="L171" s="1" t="s">
        <v>27</v>
      </c>
      <c r="M171" s="1" t="s">
        <v>20</v>
      </c>
      <c r="N171">
        <v>0.04</v>
      </c>
      <c r="O171">
        <v>54530.96</v>
      </c>
      <c r="P171">
        <v>-14276</v>
      </c>
      <c r="Q171" t="str">
        <f>IF(tbl_sales3[[#This Row],[Sale_Price]]&lt;500000,"Budget",
IF(tbl_sales3[[#This Row],[Sale_Price]]&lt;1000000,"Mid-Range",
"Luxury"))</f>
        <v>Luxury</v>
      </c>
      <c r="R171" s="4">
        <f>IFERROR(tbl_sales3[[#This Row],[Sale_Price]]*tbl_sales3[[#This Row],[Commission_Rate]],0)</f>
        <v>54530.96</v>
      </c>
      <c r="S171" t="str">
        <f>IF(ABS(tbl_sales3[[#This Row],[Commission_Earned]]-tbl_sales3[[#This Row],[Calculated_Commission]])&lt;0.02,"Correct","Mismatch")</f>
        <v>Correct</v>
      </c>
      <c r="T171">
        <f>YEAR(tbl_sales3[[#This Row],[Sale_Date]])</f>
        <v>2024</v>
      </c>
      <c r="U171" s="1" t="str">
        <f>TEXT(tbl_sales3[[#This Row],[Sale_Date]],"mmmm")</f>
        <v>July</v>
      </c>
      <c r="V171" s="2">
        <f>EOMONTH(tbl_sales3[[#This Row],[Sale_Date]],0)</f>
        <v>45504</v>
      </c>
      <c r="W171" s="1" t="str">
        <f>IF(AND(tbl_sales3[[#This Row],[Sale_Price]]&gt;1000000,tbl_sales3[[#This Row],[Days_on_Market]]&lt;30),"High Demand","Normal")</f>
        <v>Normal</v>
      </c>
    </row>
    <row r="172" spans="1:23" x14ac:dyDescent="0.3">
      <c r="A172" s="1" t="s">
        <v>210</v>
      </c>
      <c r="B172" s="1" t="s">
        <v>48</v>
      </c>
      <c r="C172" s="1" t="s">
        <v>33</v>
      </c>
      <c r="D172">
        <v>1</v>
      </c>
      <c r="E172">
        <v>1</v>
      </c>
      <c r="F172">
        <v>735</v>
      </c>
      <c r="G172">
        <v>815610</v>
      </c>
      <c r="H172">
        <v>806377</v>
      </c>
      <c r="I172" s="2">
        <v>44985</v>
      </c>
      <c r="J172" s="2">
        <v>45054</v>
      </c>
      <c r="K172">
        <v>69</v>
      </c>
      <c r="L172" s="1" t="s">
        <v>19</v>
      </c>
      <c r="M172" s="1" t="s">
        <v>24</v>
      </c>
      <c r="N172">
        <v>0.05</v>
      </c>
      <c r="O172">
        <v>40318.85</v>
      </c>
      <c r="P172">
        <v>-9233</v>
      </c>
      <c r="Q172" t="str">
        <f>IF(tbl_sales3[[#This Row],[Sale_Price]]&lt;500000,"Budget",
IF(tbl_sales3[[#This Row],[Sale_Price]]&lt;1000000,"Mid-Range",
"Luxury"))</f>
        <v>Mid-Range</v>
      </c>
      <c r="R172" s="4">
        <f>IFERROR(tbl_sales3[[#This Row],[Sale_Price]]*tbl_sales3[[#This Row],[Commission_Rate]],0)</f>
        <v>40318.850000000006</v>
      </c>
      <c r="S172" t="str">
        <f>IF(ABS(tbl_sales3[[#This Row],[Commission_Earned]]-tbl_sales3[[#This Row],[Calculated_Commission]])&lt;0.02,"Correct","Mismatch")</f>
        <v>Correct</v>
      </c>
      <c r="T172">
        <f>YEAR(tbl_sales3[[#This Row],[Sale_Date]])</f>
        <v>2023</v>
      </c>
      <c r="U172" s="1" t="str">
        <f>TEXT(tbl_sales3[[#This Row],[Sale_Date]],"mmmm")</f>
        <v>May</v>
      </c>
      <c r="V172" s="2">
        <f>EOMONTH(tbl_sales3[[#This Row],[Sale_Date]],0)</f>
        <v>45077</v>
      </c>
      <c r="W172" s="1" t="str">
        <f>IF(AND(tbl_sales3[[#This Row],[Sale_Price]]&gt;1000000,tbl_sales3[[#This Row],[Days_on_Market]]&lt;30),"High Demand","Normal")</f>
        <v>Normal</v>
      </c>
    </row>
    <row r="173" spans="1:23" x14ac:dyDescent="0.3">
      <c r="A173" s="1" t="s">
        <v>211</v>
      </c>
      <c r="B173" s="1" t="s">
        <v>17</v>
      </c>
      <c r="C173" s="1" t="s">
        <v>35</v>
      </c>
      <c r="D173">
        <v>5</v>
      </c>
      <c r="E173">
        <v>2</v>
      </c>
      <c r="F173">
        <v>1509</v>
      </c>
      <c r="G173">
        <v>1713384</v>
      </c>
      <c r="H173">
        <v>1662714</v>
      </c>
      <c r="I173" s="2">
        <v>45349</v>
      </c>
      <c r="J173" s="2">
        <v>45358</v>
      </c>
      <c r="K173">
        <v>9</v>
      </c>
      <c r="L173" s="1" t="s">
        <v>42</v>
      </c>
      <c r="M173" s="1" t="s">
        <v>28</v>
      </c>
      <c r="N173">
        <v>0.04</v>
      </c>
      <c r="O173">
        <v>66508.56</v>
      </c>
      <c r="P173">
        <v>-50670</v>
      </c>
      <c r="Q173" t="str">
        <f>IF(tbl_sales3[[#This Row],[Sale_Price]]&lt;500000,"Budget",
IF(tbl_sales3[[#This Row],[Sale_Price]]&lt;1000000,"Mid-Range",
"Luxury"))</f>
        <v>Luxury</v>
      </c>
      <c r="R173" s="4">
        <f>IFERROR(tbl_sales3[[#This Row],[Sale_Price]]*tbl_sales3[[#This Row],[Commission_Rate]],0)</f>
        <v>66508.56</v>
      </c>
      <c r="S173" t="str">
        <f>IF(ABS(tbl_sales3[[#This Row],[Commission_Earned]]-tbl_sales3[[#This Row],[Calculated_Commission]])&lt;0.02,"Correct","Mismatch")</f>
        <v>Correct</v>
      </c>
      <c r="T173">
        <f>YEAR(tbl_sales3[[#This Row],[Sale_Date]])</f>
        <v>2024</v>
      </c>
      <c r="U173" s="1" t="str">
        <f>TEXT(tbl_sales3[[#This Row],[Sale_Date]],"mmmm")</f>
        <v>March</v>
      </c>
      <c r="V173" s="2">
        <f>EOMONTH(tbl_sales3[[#This Row],[Sale_Date]],0)</f>
        <v>45382</v>
      </c>
      <c r="W173" s="1" t="str">
        <f>IF(AND(tbl_sales3[[#This Row],[Sale_Price]]&gt;1000000,tbl_sales3[[#This Row],[Days_on_Market]]&lt;30),"High Demand","Normal")</f>
        <v>High Demand</v>
      </c>
    </row>
    <row r="174" spans="1:23" x14ac:dyDescent="0.3">
      <c r="A174" s="1" t="s">
        <v>212</v>
      </c>
      <c r="B174" s="1" t="s">
        <v>41</v>
      </c>
      <c r="C174" s="1" t="s">
        <v>35</v>
      </c>
      <c r="D174">
        <v>3</v>
      </c>
      <c r="E174">
        <v>1</v>
      </c>
      <c r="F174">
        <v>2160</v>
      </c>
      <c r="G174">
        <v>583210</v>
      </c>
      <c r="H174">
        <v>551255</v>
      </c>
      <c r="I174" s="2">
        <v>45508</v>
      </c>
      <c r="J174" s="2">
        <v>45577</v>
      </c>
      <c r="K174">
        <v>69</v>
      </c>
      <c r="L174" s="1" t="s">
        <v>19</v>
      </c>
      <c r="M174" s="1" t="s">
        <v>20</v>
      </c>
      <c r="N174">
        <v>4.4999999999999998E-2</v>
      </c>
      <c r="O174">
        <v>24806.47</v>
      </c>
      <c r="P174">
        <v>-31955</v>
      </c>
      <c r="Q174" t="str">
        <f>IF(tbl_sales3[[#This Row],[Sale_Price]]&lt;500000,"Budget",
IF(tbl_sales3[[#This Row],[Sale_Price]]&lt;1000000,"Mid-Range",
"Luxury"))</f>
        <v>Mid-Range</v>
      </c>
      <c r="R174" s="4">
        <f>IFERROR(tbl_sales3[[#This Row],[Sale_Price]]*tbl_sales3[[#This Row],[Commission_Rate]],0)</f>
        <v>24806.474999999999</v>
      </c>
      <c r="S174" t="str">
        <f>IF(ABS(tbl_sales3[[#This Row],[Commission_Earned]]-tbl_sales3[[#This Row],[Calculated_Commission]])&lt;0.02,"Correct","Mismatch")</f>
        <v>Correct</v>
      </c>
      <c r="T174">
        <f>YEAR(tbl_sales3[[#This Row],[Sale_Date]])</f>
        <v>2024</v>
      </c>
      <c r="U174" s="1" t="str">
        <f>TEXT(tbl_sales3[[#This Row],[Sale_Date]],"mmmm")</f>
        <v>October</v>
      </c>
      <c r="V174" s="2">
        <f>EOMONTH(tbl_sales3[[#This Row],[Sale_Date]],0)</f>
        <v>45596</v>
      </c>
      <c r="W174" s="1" t="str">
        <f>IF(AND(tbl_sales3[[#This Row],[Sale_Price]]&gt;1000000,tbl_sales3[[#This Row],[Days_on_Market]]&lt;30),"High Demand","Normal")</f>
        <v>Normal</v>
      </c>
    </row>
    <row r="175" spans="1:23" x14ac:dyDescent="0.3">
      <c r="A175" s="1" t="s">
        <v>213</v>
      </c>
      <c r="B175" s="1" t="s">
        <v>48</v>
      </c>
      <c r="C175" s="1" t="s">
        <v>23</v>
      </c>
      <c r="D175">
        <v>1</v>
      </c>
      <c r="E175">
        <v>4</v>
      </c>
      <c r="F175">
        <v>1290</v>
      </c>
      <c r="G175">
        <v>698051</v>
      </c>
      <c r="H175">
        <v>630149</v>
      </c>
      <c r="I175" s="2">
        <v>45232</v>
      </c>
      <c r="J175" s="2">
        <v>45319</v>
      </c>
      <c r="K175">
        <v>87</v>
      </c>
      <c r="L175" s="1" t="s">
        <v>44</v>
      </c>
      <c r="M175" s="1" t="s">
        <v>20</v>
      </c>
      <c r="N175">
        <v>4.4999999999999998E-2</v>
      </c>
      <c r="O175">
        <v>28356.7</v>
      </c>
      <c r="P175">
        <v>-67902</v>
      </c>
      <c r="Q175" t="str">
        <f>IF(tbl_sales3[[#This Row],[Sale_Price]]&lt;500000,"Budget",
IF(tbl_sales3[[#This Row],[Sale_Price]]&lt;1000000,"Mid-Range",
"Luxury"))</f>
        <v>Mid-Range</v>
      </c>
      <c r="R175" s="4">
        <f>IFERROR(tbl_sales3[[#This Row],[Sale_Price]]*tbl_sales3[[#This Row],[Commission_Rate]],0)</f>
        <v>28356.704999999998</v>
      </c>
      <c r="S175" t="str">
        <f>IF(ABS(tbl_sales3[[#This Row],[Commission_Earned]]-tbl_sales3[[#This Row],[Calculated_Commission]])&lt;0.02,"Correct","Mismatch")</f>
        <v>Correct</v>
      </c>
      <c r="T175">
        <f>YEAR(tbl_sales3[[#This Row],[Sale_Date]])</f>
        <v>2024</v>
      </c>
      <c r="U175" s="1" t="str">
        <f>TEXT(tbl_sales3[[#This Row],[Sale_Date]],"mmmm")</f>
        <v>January</v>
      </c>
      <c r="V175" s="2">
        <f>EOMONTH(tbl_sales3[[#This Row],[Sale_Date]],0)</f>
        <v>45322</v>
      </c>
      <c r="W175" s="1" t="str">
        <f>IF(AND(tbl_sales3[[#This Row],[Sale_Price]]&gt;1000000,tbl_sales3[[#This Row],[Days_on_Market]]&lt;30),"High Demand","Normal")</f>
        <v>Normal</v>
      </c>
    </row>
    <row r="176" spans="1:23" x14ac:dyDescent="0.3">
      <c r="A176" s="1" t="s">
        <v>214</v>
      </c>
      <c r="B176" s="1" t="s">
        <v>37</v>
      </c>
      <c r="C176" s="1" t="s">
        <v>33</v>
      </c>
      <c r="D176">
        <v>1</v>
      </c>
      <c r="E176">
        <v>2</v>
      </c>
      <c r="F176">
        <v>1410</v>
      </c>
      <c r="G176">
        <v>1708295</v>
      </c>
      <c r="H176">
        <v>1653031</v>
      </c>
      <c r="I176" s="2">
        <v>45421</v>
      </c>
      <c r="J176" s="2">
        <v>45507</v>
      </c>
      <c r="K176">
        <v>86</v>
      </c>
      <c r="L176" s="1" t="s">
        <v>51</v>
      </c>
      <c r="M176" s="1" t="s">
        <v>24</v>
      </c>
      <c r="N176">
        <v>0.04</v>
      </c>
      <c r="O176">
        <v>66121.240000000005</v>
      </c>
      <c r="P176">
        <v>-55264</v>
      </c>
      <c r="Q176" t="str">
        <f>IF(tbl_sales3[[#This Row],[Sale_Price]]&lt;500000,"Budget",
IF(tbl_sales3[[#This Row],[Sale_Price]]&lt;1000000,"Mid-Range",
"Luxury"))</f>
        <v>Luxury</v>
      </c>
      <c r="R176" s="4">
        <f>IFERROR(tbl_sales3[[#This Row],[Sale_Price]]*tbl_sales3[[#This Row],[Commission_Rate]],0)</f>
        <v>66121.240000000005</v>
      </c>
      <c r="S176" t="str">
        <f>IF(ABS(tbl_sales3[[#This Row],[Commission_Earned]]-tbl_sales3[[#This Row],[Calculated_Commission]])&lt;0.02,"Correct","Mismatch")</f>
        <v>Correct</v>
      </c>
      <c r="T176">
        <f>YEAR(tbl_sales3[[#This Row],[Sale_Date]])</f>
        <v>2024</v>
      </c>
      <c r="U176" s="1" t="str">
        <f>TEXT(tbl_sales3[[#This Row],[Sale_Date]],"mmmm")</f>
        <v>August</v>
      </c>
      <c r="V176" s="2">
        <f>EOMONTH(tbl_sales3[[#This Row],[Sale_Date]],0)</f>
        <v>45535</v>
      </c>
      <c r="W176" s="1" t="str">
        <f>IF(AND(tbl_sales3[[#This Row],[Sale_Price]]&gt;1000000,tbl_sales3[[#This Row],[Days_on_Market]]&lt;30),"High Demand","Normal")</f>
        <v>Normal</v>
      </c>
    </row>
    <row r="177" spans="1:23" x14ac:dyDescent="0.3">
      <c r="A177" s="1" t="s">
        <v>215</v>
      </c>
      <c r="B177" s="1" t="s">
        <v>59</v>
      </c>
      <c r="C177" s="1" t="s">
        <v>35</v>
      </c>
      <c r="D177">
        <v>3</v>
      </c>
      <c r="E177">
        <v>2</v>
      </c>
      <c r="F177">
        <v>3096</v>
      </c>
      <c r="G177">
        <v>643558</v>
      </c>
      <c r="H177">
        <v>570615</v>
      </c>
      <c r="I177" s="2">
        <v>45365</v>
      </c>
      <c r="J177" s="2">
        <v>45375</v>
      </c>
      <c r="K177">
        <v>10</v>
      </c>
      <c r="L177" s="1" t="s">
        <v>39</v>
      </c>
      <c r="M177" s="1" t="s">
        <v>28</v>
      </c>
      <c r="N177">
        <v>4.4999999999999998E-2</v>
      </c>
      <c r="O177">
        <v>25677.67</v>
      </c>
      <c r="P177">
        <v>-72943</v>
      </c>
      <c r="Q177" t="str">
        <f>IF(tbl_sales3[[#This Row],[Sale_Price]]&lt;500000,"Budget",
IF(tbl_sales3[[#This Row],[Sale_Price]]&lt;1000000,"Mid-Range",
"Luxury"))</f>
        <v>Mid-Range</v>
      </c>
      <c r="R177" s="4">
        <f>IFERROR(tbl_sales3[[#This Row],[Sale_Price]]*tbl_sales3[[#This Row],[Commission_Rate]],0)</f>
        <v>25677.674999999999</v>
      </c>
      <c r="S177" t="str">
        <f>IF(ABS(tbl_sales3[[#This Row],[Commission_Earned]]-tbl_sales3[[#This Row],[Calculated_Commission]])&lt;0.02,"Correct","Mismatch")</f>
        <v>Correct</v>
      </c>
      <c r="T177">
        <f>YEAR(tbl_sales3[[#This Row],[Sale_Date]])</f>
        <v>2024</v>
      </c>
      <c r="U177" s="1" t="str">
        <f>TEXT(tbl_sales3[[#This Row],[Sale_Date]],"mmmm")</f>
        <v>March</v>
      </c>
      <c r="V177" s="2">
        <f>EOMONTH(tbl_sales3[[#This Row],[Sale_Date]],0)</f>
        <v>45382</v>
      </c>
      <c r="W177" s="1" t="str">
        <f>IF(AND(tbl_sales3[[#This Row],[Sale_Price]]&gt;1000000,tbl_sales3[[#This Row],[Days_on_Market]]&lt;30),"High Demand","Normal")</f>
        <v>Normal</v>
      </c>
    </row>
    <row r="178" spans="1:23" x14ac:dyDescent="0.3">
      <c r="A178" s="1" t="s">
        <v>216</v>
      </c>
      <c r="B178" s="1" t="s">
        <v>22</v>
      </c>
      <c r="C178" s="1" t="s">
        <v>18</v>
      </c>
      <c r="D178">
        <v>5</v>
      </c>
      <c r="E178">
        <v>1</v>
      </c>
      <c r="F178">
        <v>2923</v>
      </c>
      <c r="G178">
        <v>729998</v>
      </c>
      <c r="H178">
        <v>654822</v>
      </c>
      <c r="I178" s="2">
        <v>45246</v>
      </c>
      <c r="J178" s="2">
        <v>45322</v>
      </c>
      <c r="K178">
        <v>76</v>
      </c>
      <c r="L178" s="1" t="s">
        <v>51</v>
      </c>
      <c r="M178" s="1" t="s">
        <v>28</v>
      </c>
      <c r="N178">
        <v>0.05</v>
      </c>
      <c r="O178">
        <v>32741.1</v>
      </c>
      <c r="P178">
        <v>-75176</v>
      </c>
      <c r="Q178" t="str">
        <f>IF(tbl_sales3[[#This Row],[Sale_Price]]&lt;500000,"Budget",
IF(tbl_sales3[[#This Row],[Sale_Price]]&lt;1000000,"Mid-Range",
"Luxury"))</f>
        <v>Mid-Range</v>
      </c>
      <c r="R178" s="4">
        <f>IFERROR(tbl_sales3[[#This Row],[Sale_Price]]*tbl_sales3[[#This Row],[Commission_Rate]],0)</f>
        <v>32741.100000000002</v>
      </c>
      <c r="S178" t="str">
        <f>IF(ABS(tbl_sales3[[#This Row],[Commission_Earned]]-tbl_sales3[[#This Row],[Calculated_Commission]])&lt;0.02,"Correct","Mismatch")</f>
        <v>Correct</v>
      </c>
      <c r="T178">
        <f>YEAR(tbl_sales3[[#This Row],[Sale_Date]])</f>
        <v>2024</v>
      </c>
      <c r="U178" s="1" t="str">
        <f>TEXT(tbl_sales3[[#This Row],[Sale_Date]],"mmmm")</f>
        <v>January</v>
      </c>
      <c r="V178" s="2">
        <f>EOMONTH(tbl_sales3[[#This Row],[Sale_Date]],0)</f>
        <v>45322</v>
      </c>
      <c r="W178" s="1" t="str">
        <f>IF(AND(tbl_sales3[[#This Row],[Sale_Price]]&gt;1000000,tbl_sales3[[#This Row],[Days_on_Market]]&lt;30),"High Demand","Normal")</f>
        <v>Normal</v>
      </c>
    </row>
    <row r="179" spans="1:23" x14ac:dyDescent="0.3">
      <c r="A179" s="1" t="s">
        <v>217</v>
      </c>
      <c r="B179" s="1" t="s">
        <v>37</v>
      </c>
      <c r="C179" s="1" t="s">
        <v>38</v>
      </c>
      <c r="D179">
        <v>2</v>
      </c>
      <c r="E179">
        <v>1</v>
      </c>
      <c r="F179">
        <v>3107</v>
      </c>
      <c r="G179">
        <v>648436</v>
      </c>
      <c r="H179">
        <v>628078</v>
      </c>
      <c r="I179" s="2">
        <v>44938</v>
      </c>
      <c r="J179" s="2">
        <v>44949</v>
      </c>
      <c r="K179">
        <v>11</v>
      </c>
      <c r="L179" s="1" t="s">
        <v>27</v>
      </c>
      <c r="M179" s="1" t="s">
        <v>24</v>
      </c>
      <c r="N179">
        <v>0.05</v>
      </c>
      <c r="O179">
        <v>31403.9</v>
      </c>
      <c r="P179">
        <v>-20358</v>
      </c>
      <c r="Q179" t="str">
        <f>IF(tbl_sales3[[#This Row],[Sale_Price]]&lt;500000,"Budget",
IF(tbl_sales3[[#This Row],[Sale_Price]]&lt;1000000,"Mid-Range",
"Luxury"))</f>
        <v>Mid-Range</v>
      </c>
      <c r="R179" s="4">
        <f>IFERROR(tbl_sales3[[#This Row],[Sale_Price]]*tbl_sales3[[#This Row],[Commission_Rate]],0)</f>
        <v>31403.9</v>
      </c>
      <c r="S179" t="str">
        <f>IF(ABS(tbl_sales3[[#This Row],[Commission_Earned]]-tbl_sales3[[#This Row],[Calculated_Commission]])&lt;0.02,"Correct","Mismatch")</f>
        <v>Correct</v>
      </c>
      <c r="T179">
        <f>YEAR(tbl_sales3[[#This Row],[Sale_Date]])</f>
        <v>2023</v>
      </c>
      <c r="U179" s="1" t="str">
        <f>TEXT(tbl_sales3[[#This Row],[Sale_Date]],"mmmm")</f>
        <v>January</v>
      </c>
      <c r="V179" s="2">
        <f>EOMONTH(tbl_sales3[[#This Row],[Sale_Date]],0)</f>
        <v>44957</v>
      </c>
      <c r="W179" s="1" t="str">
        <f>IF(AND(tbl_sales3[[#This Row],[Sale_Price]]&gt;1000000,tbl_sales3[[#This Row],[Days_on_Market]]&lt;30),"High Demand","Normal")</f>
        <v>Normal</v>
      </c>
    </row>
    <row r="180" spans="1:23" x14ac:dyDescent="0.3">
      <c r="A180" s="1" t="s">
        <v>218</v>
      </c>
      <c r="B180" s="1" t="s">
        <v>32</v>
      </c>
      <c r="C180" s="1" t="s">
        <v>33</v>
      </c>
      <c r="D180">
        <v>1</v>
      </c>
      <c r="E180">
        <v>2</v>
      </c>
      <c r="F180">
        <v>1315</v>
      </c>
      <c r="G180">
        <v>1546471</v>
      </c>
      <c r="H180">
        <v>1537203</v>
      </c>
      <c r="I180" s="2">
        <v>45327</v>
      </c>
      <c r="J180" s="2">
        <v>45361</v>
      </c>
      <c r="K180">
        <v>34</v>
      </c>
      <c r="L180" s="1" t="s">
        <v>44</v>
      </c>
      <c r="M180" s="1" t="s">
        <v>28</v>
      </c>
      <c r="N180">
        <v>4.4999999999999998E-2</v>
      </c>
      <c r="O180">
        <v>69174.13</v>
      </c>
      <c r="P180">
        <v>-9268</v>
      </c>
      <c r="Q180" t="str">
        <f>IF(tbl_sales3[[#This Row],[Sale_Price]]&lt;500000,"Budget",
IF(tbl_sales3[[#This Row],[Sale_Price]]&lt;1000000,"Mid-Range",
"Luxury"))</f>
        <v>Luxury</v>
      </c>
      <c r="R180" s="4">
        <f>IFERROR(tbl_sales3[[#This Row],[Sale_Price]]*tbl_sales3[[#This Row],[Commission_Rate]],0)</f>
        <v>69174.134999999995</v>
      </c>
      <c r="S180" t="str">
        <f>IF(ABS(tbl_sales3[[#This Row],[Commission_Earned]]-tbl_sales3[[#This Row],[Calculated_Commission]])&lt;0.02,"Correct","Mismatch")</f>
        <v>Correct</v>
      </c>
      <c r="T180">
        <f>YEAR(tbl_sales3[[#This Row],[Sale_Date]])</f>
        <v>2024</v>
      </c>
      <c r="U180" s="1" t="str">
        <f>TEXT(tbl_sales3[[#This Row],[Sale_Date]],"mmmm")</f>
        <v>March</v>
      </c>
      <c r="V180" s="2">
        <f>EOMONTH(tbl_sales3[[#This Row],[Sale_Date]],0)</f>
        <v>45382</v>
      </c>
      <c r="W180" s="1" t="str">
        <f>IF(AND(tbl_sales3[[#This Row],[Sale_Price]]&gt;1000000,tbl_sales3[[#This Row],[Days_on_Market]]&lt;30),"High Demand","Normal")</f>
        <v>Normal</v>
      </c>
    </row>
    <row r="181" spans="1:23" x14ac:dyDescent="0.3">
      <c r="A181" s="1" t="s">
        <v>219</v>
      </c>
      <c r="B181" s="1" t="s">
        <v>26</v>
      </c>
      <c r="C181" s="1" t="s">
        <v>23</v>
      </c>
      <c r="D181">
        <v>2</v>
      </c>
      <c r="E181">
        <v>4</v>
      </c>
      <c r="F181">
        <v>1942</v>
      </c>
      <c r="G181">
        <v>1686049</v>
      </c>
      <c r="H181">
        <v>1613947</v>
      </c>
      <c r="I181" s="2">
        <v>45602</v>
      </c>
      <c r="J181" s="2">
        <v>45650</v>
      </c>
      <c r="K181">
        <v>48</v>
      </c>
      <c r="L181" s="1" t="s">
        <v>42</v>
      </c>
      <c r="M181" s="1" t="s">
        <v>20</v>
      </c>
      <c r="N181">
        <v>0.04</v>
      </c>
      <c r="O181">
        <v>64557.88</v>
      </c>
      <c r="P181">
        <v>-72102</v>
      </c>
      <c r="Q181" t="str">
        <f>IF(tbl_sales3[[#This Row],[Sale_Price]]&lt;500000,"Budget",
IF(tbl_sales3[[#This Row],[Sale_Price]]&lt;1000000,"Mid-Range",
"Luxury"))</f>
        <v>Luxury</v>
      </c>
      <c r="R181" s="4">
        <f>IFERROR(tbl_sales3[[#This Row],[Sale_Price]]*tbl_sales3[[#This Row],[Commission_Rate]],0)</f>
        <v>64557.880000000005</v>
      </c>
      <c r="S181" t="str">
        <f>IF(ABS(tbl_sales3[[#This Row],[Commission_Earned]]-tbl_sales3[[#This Row],[Calculated_Commission]])&lt;0.02,"Correct","Mismatch")</f>
        <v>Correct</v>
      </c>
      <c r="T181">
        <f>YEAR(tbl_sales3[[#This Row],[Sale_Date]])</f>
        <v>2024</v>
      </c>
      <c r="U181" s="1" t="str">
        <f>TEXT(tbl_sales3[[#This Row],[Sale_Date]],"mmmm")</f>
        <v>December</v>
      </c>
      <c r="V181" s="2">
        <f>EOMONTH(tbl_sales3[[#This Row],[Sale_Date]],0)</f>
        <v>45657</v>
      </c>
      <c r="W181" s="1" t="str">
        <f>IF(AND(tbl_sales3[[#This Row],[Sale_Price]]&gt;1000000,tbl_sales3[[#This Row],[Days_on_Market]]&lt;30),"High Demand","Normal")</f>
        <v>Normal</v>
      </c>
    </row>
    <row r="182" spans="1:23" x14ac:dyDescent="0.3">
      <c r="A182" s="1" t="s">
        <v>220</v>
      </c>
      <c r="B182" s="1" t="s">
        <v>41</v>
      </c>
      <c r="C182" s="1" t="s">
        <v>33</v>
      </c>
      <c r="D182">
        <v>4</v>
      </c>
      <c r="E182">
        <v>2</v>
      </c>
      <c r="F182">
        <v>2972</v>
      </c>
      <c r="G182">
        <v>1560466</v>
      </c>
      <c r="H182">
        <v>1505383</v>
      </c>
      <c r="I182" s="2">
        <v>45568</v>
      </c>
      <c r="J182" s="2">
        <v>45611</v>
      </c>
      <c r="K182">
        <v>43</v>
      </c>
      <c r="L182" s="1" t="s">
        <v>39</v>
      </c>
      <c r="M182" s="1" t="s">
        <v>28</v>
      </c>
      <c r="N182">
        <v>4.4999999999999998E-2</v>
      </c>
      <c r="O182">
        <v>67742.240000000005</v>
      </c>
      <c r="P182">
        <v>-55083</v>
      </c>
      <c r="Q182" t="str">
        <f>IF(tbl_sales3[[#This Row],[Sale_Price]]&lt;500000,"Budget",
IF(tbl_sales3[[#This Row],[Sale_Price]]&lt;1000000,"Mid-Range",
"Luxury"))</f>
        <v>Luxury</v>
      </c>
      <c r="R182" s="4">
        <f>IFERROR(tbl_sales3[[#This Row],[Sale_Price]]*tbl_sales3[[#This Row],[Commission_Rate]],0)</f>
        <v>67742.235000000001</v>
      </c>
      <c r="S182" t="str">
        <f>IF(ABS(tbl_sales3[[#This Row],[Commission_Earned]]-tbl_sales3[[#This Row],[Calculated_Commission]])&lt;0.02,"Correct","Mismatch")</f>
        <v>Correct</v>
      </c>
      <c r="T182">
        <f>YEAR(tbl_sales3[[#This Row],[Sale_Date]])</f>
        <v>2024</v>
      </c>
      <c r="U182" s="1" t="str">
        <f>TEXT(tbl_sales3[[#This Row],[Sale_Date]],"mmmm")</f>
        <v>November</v>
      </c>
      <c r="V182" s="2">
        <f>EOMONTH(tbl_sales3[[#This Row],[Sale_Date]],0)</f>
        <v>45626</v>
      </c>
      <c r="W182" s="1" t="str">
        <f>IF(AND(tbl_sales3[[#This Row],[Sale_Price]]&gt;1000000,tbl_sales3[[#This Row],[Days_on_Market]]&lt;30),"High Demand","Normal")</f>
        <v>Normal</v>
      </c>
    </row>
    <row r="183" spans="1:23" x14ac:dyDescent="0.3">
      <c r="A183" s="1" t="s">
        <v>221</v>
      </c>
      <c r="B183" s="1" t="s">
        <v>41</v>
      </c>
      <c r="C183" s="1" t="s">
        <v>18</v>
      </c>
      <c r="D183">
        <v>2</v>
      </c>
      <c r="E183">
        <v>3</v>
      </c>
      <c r="F183">
        <v>1350</v>
      </c>
      <c r="G183">
        <v>770181</v>
      </c>
      <c r="H183">
        <v>738771</v>
      </c>
      <c r="I183" s="2">
        <v>45333</v>
      </c>
      <c r="J183" s="2">
        <v>45421</v>
      </c>
      <c r="K183">
        <v>88</v>
      </c>
      <c r="L183" s="1" t="s">
        <v>30</v>
      </c>
      <c r="M183" s="1" t="s">
        <v>28</v>
      </c>
      <c r="N183">
        <v>4.4999999999999998E-2</v>
      </c>
      <c r="O183">
        <v>33244.69</v>
      </c>
      <c r="P183">
        <v>-31410</v>
      </c>
      <c r="Q183" t="str">
        <f>IF(tbl_sales3[[#This Row],[Sale_Price]]&lt;500000,"Budget",
IF(tbl_sales3[[#This Row],[Sale_Price]]&lt;1000000,"Mid-Range",
"Luxury"))</f>
        <v>Mid-Range</v>
      </c>
      <c r="R183" s="4">
        <f>IFERROR(tbl_sales3[[#This Row],[Sale_Price]]*tbl_sales3[[#This Row],[Commission_Rate]],0)</f>
        <v>33244.695</v>
      </c>
      <c r="S183" t="str">
        <f>IF(ABS(tbl_sales3[[#This Row],[Commission_Earned]]-tbl_sales3[[#This Row],[Calculated_Commission]])&lt;0.02,"Correct","Mismatch")</f>
        <v>Correct</v>
      </c>
      <c r="T183">
        <f>YEAR(tbl_sales3[[#This Row],[Sale_Date]])</f>
        <v>2024</v>
      </c>
      <c r="U183" s="1" t="str">
        <f>TEXT(tbl_sales3[[#This Row],[Sale_Date]],"mmmm")</f>
        <v>May</v>
      </c>
      <c r="V183" s="2">
        <f>EOMONTH(tbl_sales3[[#This Row],[Sale_Date]],0)</f>
        <v>45443</v>
      </c>
      <c r="W183" s="1" t="str">
        <f>IF(AND(tbl_sales3[[#This Row],[Sale_Price]]&gt;1000000,tbl_sales3[[#This Row],[Days_on_Market]]&lt;30),"High Demand","Normal")</f>
        <v>Normal</v>
      </c>
    </row>
    <row r="184" spans="1:23" x14ac:dyDescent="0.3">
      <c r="A184" s="1" t="s">
        <v>222</v>
      </c>
      <c r="B184" s="1" t="s">
        <v>59</v>
      </c>
      <c r="C184" s="1" t="s">
        <v>33</v>
      </c>
      <c r="D184">
        <v>3</v>
      </c>
      <c r="E184">
        <v>4</v>
      </c>
      <c r="F184">
        <v>1516</v>
      </c>
      <c r="G184">
        <v>1009294</v>
      </c>
      <c r="H184">
        <v>979472</v>
      </c>
      <c r="I184" s="2">
        <v>45067</v>
      </c>
      <c r="J184" s="2">
        <v>45098</v>
      </c>
      <c r="K184">
        <v>31</v>
      </c>
      <c r="L184" s="1" t="s">
        <v>53</v>
      </c>
      <c r="M184" s="1" t="s">
        <v>24</v>
      </c>
      <c r="N184">
        <v>0.04</v>
      </c>
      <c r="O184">
        <v>39178.879999999997</v>
      </c>
      <c r="P184">
        <v>-29822</v>
      </c>
      <c r="Q184" t="str">
        <f>IF(tbl_sales3[[#This Row],[Sale_Price]]&lt;500000,"Budget",
IF(tbl_sales3[[#This Row],[Sale_Price]]&lt;1000000,"Mid-Range",
"Luxury"))</f>
        <v>Mid-Range</v>
      </c>
      <c r="R184" s="4">
        <f>IFERROR(tbl_sales3[[#This Row],[Sale_Price]]*tbl_sales3[[#This Row],[Commission_Rate]],0)</f>
        <v>39178.879999999997</v>
      </c>
      <c r="S184" t="str">
        <f>IF(ABS(tbl_sales3[[#This Row],[Commission_Earned]]-tbl_sales3[[#This Row],[Calculated_Commission]])&lt;0.02,"Correct","Mismatch")</f>
        <v>Correct</v>
      </c>
      <c r="T184">
        <f>YEAR(tbl_sales3[[#This Row],[Sale_Date]])</f>
        <v>2023</v>
      </c>
      <c r="U184" s="1" t="str">
        <f>TEXT(tbl_sales3[[#This Row],[Sale_Date]],"mmmm")</f>
        <v>June</v>
      </c>
      <c r="V184" s="2">
        <f>EOMONTH(tbl_sales3[[#This Row],[Sale_Date]],0)</f>
        <v>45107</v>
      </c>
      <c r="W184" s="1" t="str">
        <f>IF(AND(tbl_sales3[[#This Row],[Sale_Price]]&gt;1000000,tbl_sales3[[#This Row],[Days_on_Market]]&lt;30),"High Demand","Normal")</f>
        <v>Normal</v>
      </c>
    </row>
    <row r="185" spans="1:23" x14ac:dyDescent="0.3">
      <c r="A185" s="1" t="s">
        <v>223</v>
      </c>
      <c r="B185" s="1" t="s">
        <v>48</v>
      </c>
      <c r="C185" s="1" t="s">
        <v>38</v>
      </c>
      <c r="D185">
        <v>4</v>
      </c>
      <c r="E185">
        <v>3</v>
      </c>
      <c r="F185">
        <v>933</v>
      </c>
      <c r="G185">
        <v>1795533</v>
      </c>
      <c r="H185">
        <v>1746790</v>
      </c>
      <c r="I185" s="2">
        <v>45391</v>
      </c>
      <c r="J185" s="2">
        <v>45442</v>
      </c>
      <c r="K185">
        <v>51</v>
      </c>
      <c r="L185" s="1" t="s">
        <v>44</v>
      </c>
      <c r="M185" s="1" t="s">
        <v>20</v>
      </c>
      <c r="N185">
        <v>0.04</v>
      </c>
      <c r="O185">
        <v>69871.600000000006</v>
      </c>
      <c r="P185">
        <v>-48743</v>
      </c>
      <c r="Q185" t="str">
        <f>IF(tbl_sales3[[#This Row],[Sale_Price]]&lt;500000,"Budget",
IF(tbl_sales3[[#This Row],[Sale_Price]]&lt;1000000,"Mid-Range",
"Luxury"))</f>
        <v>Luxury</v>
      </c>
      <c r="R185" s="4">
        <f>IFERROR(tbl_sales3[[#This Row],[Sale_Price]]*tbl_sales3[[#This Row],[Commission_Rate]],0)</f>
        <v>69871.600000000006</v>
      </c>
      <c r="S185" t="str">
        <f>IF(ABS(tbl_sales3[[#This Row],[Commission_Earned]]-tbl_sales3[[#This Row],[Calculated_Commission]])&lt;0.02,"Correct","Mismatch")</f>
        <v>Correct</v>
      </c>
      <c r="T185">
        <f>YEAR(tbl_sales3[[#This Row],[Sale_Date]])</f>
        <v>2024</v>
      </c>
      <c r="U185" s="1" t="str">
        <f>TEXT(tbl_sales3[[#This Row],[Sale_Date]],"mmmm")</f>
        <v>May</v>
      </c>
      <c r="V185" s="2">
        <f>EOMONTH(tbl_sales3[[#This Row],[Sale_Date]],0)</f>
        <v>45443</v>
      </c>
      <c r="W185" s="1" t="str">
        <f>IF(AND(tbl_sales3[[#This Row],[Sale_Price]]&gt;1000000,tbl_sales3[[#This Row],[Days_on_Market]]&lt;30),"High Demand","Normal")</f>
        <v>Normal</v>
      </c>
    </row>
    <row r="186" spans="1:23" x14ac:dyDescent="0.3">
      <c r="A186" s="1" t="s">
        <v>224</v>
      </c>
      <c r="B186" s="1" t="s">
        <v>32</v>
      </c>
      <c r="C186" s="1" t="s">
        <v>38</v>
      </c>
      <c r="D186">
        <v>5</v>
      </c>
      <c r="E186">
        <v>1</v>
      </c>
      <c r="F186">
        <v>1758</v>
      </c>
      <c r="G186">
        <v>873136</v>
      </c>
      <c r="H186">
        <v>868941</v>
      </c>
      <c r="I186" s="2">
        <v>45280</v>
      </c>
      <c r="J186" s="2">
        <v>45322</v>
      </c>
      <c r="K186">
        <v>42</v>
      </c>
      <c r="L186" s="1" t="s">
        <v>51</v>
      </c>
      <c r="M186" s="1" t="s">
        <v>28</v>
      </c>
      <c r="N186">
        <v>0.04</v>
      </c>
      <c r="O186">
        <v>34757.64</v>
      </c>
      <c r="P186">
        <v>-4195</v>
      </c>
      <c r="Q186" t="str">
        <f>IF(tbl_sales3[[#This Row],[Sale_Price]]&lt;500000,"Budget",
IF(tbl_sales3[[#This Row],[Sale_Price]]&lt;1000000,"Mid-Range",
"Luxury"))</f>
        <v>Mid-Range</v>
      </c>
      <c r="R186" s="4">
        <f>IFERROR(tbl_sales3[[#This Row],[Sale_Price]]*tbl_sales3[[#This Row],[Commission_Rate]],0)</f>
        <v>34757.64</v>
      </c>
      <c r="S186" t="str">
        <f>IF(ABS(tbl_sales3[[#This Row],[Commission_Earned]]-tbl_sales3[[#This Row],[Calculated_Commission]])&lt;0.02,"Correct","Mismatch")</f>
        <v>Correct</v>
      </c>
      <c r="T186">
        <f>YEAR(tbl_sales3[[#This Row],[Sale_Date]])</f>
        <v>2024</v>
      </c>
      <c r="U186" s="1" t="str">
        <f>TEXT(tbl_sales3[[#This Row],[Sale_Date]],"mmmm")</f>
        <v>January</v>
      </c>
      <c r="V186" s="2">
        <f>EOMONTH(tbl_sales3[[#This Row],[Sale_Date]],0)</f>
        <v>45322</v>
      </c>
      <c r="W186" s="1" t="str">
        <f>IF(AND(tbl_sales3[[#This Row],[Sale_Price]]&gt;1000000,tbl_sales3[[#This Row],[Days_on_Market]]&lt;30),"High Demand","Normal")</f>
        <v>Normal</v>
      </c>
    </row>
    <row r="187" spans="1:23" x14ac:dyDescent="0.3">
      <c r="A187" s="1" t="s">
        <v>225</v>
      </c>
      <c r="B187" s="1" t="s">
        <v>26</v>
      </c>
      <c r="C187" s="1" t="s">
        <v>18</v>
      </c>
      <c r="D187">
        <v>3</v>
      </c>
      <c r="E187">
        <v>2</v>
      </c>
      <c r="F187">
        <v>3207</v>
      </c>
      <c r="G187">
        <v>1059866</v>
      </c>
      <c r="H187">
        <v>1036669</v>
      </c>
      <c r="I187" s="2">
        <v>45187</v>
      </c>
      <c r="J187" s="2">
        <v>45224</v>
      </c>
      <c r="K187">
        <v>37</v>
      </c>
      <c r="L187" s="1" t="s">
        <v>42</v>
      </c>
      <c r="M187" s="1" t="s">
        <v>20</v>
      </c>
      <c r="N187">
        <v>4.4999999999999998E-2</v>
      </c>
      <c r="O187">
        <v>46650.1</v>
      </c>
      <c r="P187">
        <v>-23197</v>
      </c>
      <c r="Q187" t="str">
        <f>IF(tbl_sales3[[#This Row],[Sale_Price]]&lt;500000,"Budget",
IF(tbl_sales3[[#This Row],[Sale_Price]]&lt;1000000,"Mid-Range",
"Luxury"))</f>
        <v>Luxury</v>
      </c>
      <c r="R187" s="4">
        <f>IFERROR(tbl_sales3[[#This Row],[Sale_Price]]*tbl_sales3[[#This Row],[Commission_Rate]],0)</f>
        <v>46650.104999999996</v>
      </c>
      <c r="S187" t="str">
        <f>IF(ABS(tbl_sales3[[#This Row],[Commission_Earned]]-tbl_sales3[[#This Row],[Calculated_Commission]])&lt;0.02,"Correct","Mismatch")</f>
        <v>Correct</v>
      </c>
      <c r="T187">
        <f>YEAR(tbl_sales3[[#This Row],[Sale_Date]])</f>
        <v>2023</v>
      </c>
      <c r="U187" s="1" t="str">
        <f>TEXT(tbl_sales3[[#This Row],[Sale_Date]],"mmmm")</f>
        <v>October</v>
      </c>
      <c r="V187" s="2">
        <f>EOMONTH(tbl_sales3[[#This Row],[Sale_Date]],0)</f>
        <v>45230</v>
      </c>
      <c r="W187" s="1" t="str">
        <f>IF(AND(tbl_sales3[[#This Row],[Sale_Price]]&gt;1000000,tbl_sales3[[#This Row],[Days_on_Market]]&lt;30),"High Demand","Normal")</f>
        <v>Normal</v>
      </c>
    </row>
    <row r="188" spans="1:23" x14ac:dyDescent="0.3">
      <c r="A188" s="1" t="s">
        <v>226</v>
      </c>
      <c r="B188" s="1" t="s">
        <v>48</v>
      </c>
      <c r="C188" s="1" t="s">
        <v>23</v>
      </c>
      <c r="D188">
        <v>3</v>
      </c>
      <c r="E188">
        <v>3</v>
      </c>
      <c r="F188">
        <v>2185</v>
      </c>
      <c r="G188">
        <v>1225403</v>
      </c>
      <c r="H188">
        <v>1153025</v>
      </c>
      <c r="I188" s="2">
        <v>45294</v>
      </c>
      <c r="J188" s="2">
        <v>45330</v>
      </c>
      <c r="K188">
        <v>36</v>
      </c>
      <c r="L188" s="1" t="s">
        <v>51</v>
      </c>
      <c r="M188" s="1" t="s">
        <v>28</v>
      </c>
      <c r="N188">
        <v>4.4999999999999998E-2</v>
      </c>
      <c r="O188">
        <v>51886.12</v>
      </c>
      <c r="P188">
        <v>-72378</v>
      </c>
      <c r="Q188" t="str">
        <f>IF(tbl_sales3[[#This Row],[Sale_Price]]&lt;500000,"Budget",
IF(tbl_sales3[[#This Row],[Sale_Price]]&lt;1000000,"Mid-Range",
"Luxury"))</f>
        <v>Luxury</v>
      </c>
      <c r="R188" s="4">
        <f>IFERROR(tbl_sales3[[#This Row],[Sale_Price]]*tbl_sales3[[#This Row],[Commission_Rate]],0)</f>
        <v>51886.125</v>
      </c>
      <c r="S188" t="str">
        <f>IF(ABS(tbl_sales3[[#This Row],[Commission_Earned]]-tbl_sales3[[#This Row],[Calculated_Commission]])&lt;0.02,"Correct","Mismatch")</f>
        <v>Correct</v>
      </c>
      <c r="T188">
        <f>YEAR(tbl_sales3[[#This Row],[Sale_Date]])</f>
        <v>2024</v>
      </c>
      <c r="U188" s="1" t="str">
        <f>TEXT(tbl_sales3[[#This Row],[Sale_Date]],"mmmm")</f>
        <v>February</v>
      </c>
      <c r="V188" s="2">
        <f>EOMONTH(tbl_sales3[[#This Row],[Sale_Date]],0)</f>
        <v>45351</v>
      </c>
      <c r="W188" s="1" t="str">
        <f>IF(AND(tbl_sales3[[#This Row],[Sale_Price]]&gt;1000000,tbl_sales3[[#This Row],[Days_on_Market]]&lt;30),"High Demand","Normal")</f>
        <v>Normal</v>
      </c>
    </row>
    <row r="189" spans="1:23" x14ac:dyDescent="0.3">
      <c r="A189" s="1" t="s">
        <v>227</v>
      </c>
      <c r="B189" s="1" t="s">
        <v>37</v>
      </c>
      <c r="C189" s="1" t="s">
        <v>33</v>
      </c>
      <c r="D189">
        <v>1</v>
      </c>
      <c r="E189">
        <v>1</v>
      </c>
      <c r="F189">
        <v>1501</v>
      </c>
      <c r="G189">
        <v>994597</v>
      </c>
      <c r="H189">
        <v>962031</v>
      </c>
      <c r="I189" s="2">
        <v>45602</v>
      </c>
      <c r="J189" s="2">
        <v>45632</v>
      </c>
      <c r="K189">
        <v>30</v>
      </c>
      <c r="L189" s="1" t="s">
        <v>27</v>
      </c>
      <c r="M189" s="1" t="s">
        <v>20</v>
      </c>
      <c r="N189">
        <v>0.04</v>
      </c>
      <c r="O189">
        <v>38481.24</v>
      </c>
      <c r="P189">
        <v>-32566</v>
      </c>
      <c r="Q189" t="str">
        <f>IF(tbl_sales3[[#This Row],[Sale_Price]]&lt;500000,"Budget",
IF(tbl_sales3[[#This Row],[Sale_Price]]&lt;1000000,"Mid-Range",
"Luxury"))</f>
        <v>Mid-Range</v>
      </c>
      <c r="R189" s="4">
        <f>IFERROR(tbl_sales3[[#This Row],[Sale_Price]]*tbl_sales3[[#This Row],[Commission_Rate]],0)</f>
        <v>38481.24</v>
      </c>
      <c r="S189" t="str">
        <f>IF(ABS(tbl_sales3[[#This Row],[Commission_Earned]]-tbl_sales3[[#This Row],[Calculated_Commission]])&lt;0.02,"Correct","Mismatch")</f>
        <v>Correct</v>
      </c>
      <c r="T189">
        <f>YEAR(tbl_sales3[[#This Row],[Sale_Date]])</f>
        <v>2024</v>
      </c>
      <c r="U189" s="1" t="str">
        <f>TEXT(tbl_sales3[[#This Row],[Sale_Date]],"mmmm")</f>
        <v>December</v>
      </c>
      <c r="V189" s="2">
        <f>EOMONTH(tbl_sales3[[#This Row],[Sale_Date]],0)</f>
        <v>45657</v>
      </c>
      <c r="W189" s="1" t="str">
        <f>IF(AND(tbl_sales3[[#This Row],[Sale_Price]]&gt;1000000,tbl_sales3[[#This Row],[Days_on_Market]]&lt;30),"High Demand","Normal")</f>
        <v>Normal</v>
      </c>
    </row>
    <row r="190" spans="1:23" x14ac:dyDescent="0.3">
      <c r="A190" s="1" t="s">
        <v>228</v>
      </c>
      <c r="B190" s="1" t="s">
        <v>26</v>
      </c>
      <c r="C190" s="1" t="s">
        <v>35</v>
      </c>
      <c r="D190">
        <v>3</v>
      </c>
      <c r="E190">
        <v>4</v>
      </c>
      <c r="F190">
        <v>2190</v>
      </c>
      <c r="G190">
        <v>1081761</v>
      </c>
      <c r="H190">
        <v>1018216</v>
      </c>
      <c r="I190" s="2">
        <v>45208</v>
      </c>
      <c r="J190" s="2">
        <v>45222</v>
      </c>
      <c r="K190">
        <v>14</v>
      </c>
      <c r="L190" s="1" t="s">
        <v>27</v>
      </c>
      <c r="M190" s="1" t="s">
        <v>28</v>
      </c>
      <c r="N190">
        <v>4.4999999999999998E-2</v>
      </c>
      <c r="O190">
        <v>45819.72</v>
      </c>
      <c r="P190">
        <v>-63545</v>
      </c>
      <c r="Q190" t="str">
        <f>IF(tbl_sales3[[#This Row],[Sale_Price]]&lt;500000,"Budget",
IF(tbl_sales3[[#This Row],[Sale_Price]]&lt;1000000,"Mid-Range",
"Luxury"))</f>
        <v>Luxury</v>
      </c>
      <c r="R190" s="4">
        <f>IFERROR(tbl_sales3[[#This Row],[Sale_Price]]*tbl_sales3[[#This Row],[Commission_Rate]],0)</f>
        <v>45819.72</v>
      </c>
      <c r="S190" t="str">
        <f>IF(ABS(tbl_sales3[[#This Row],[Commission_Earned]]-tbl_sales3[[#This Row],[Calculated_Commission]])&lt;0.02,"Correct","Mismatch")</f>
        <v>Correct</v>
      </c>
      <c r="T190">
        <f>YEAR(tbl_sales3[[#This Row],[Sale_Date]])</f>
        <v>2023</v>
      </c>
      <c r="U190" s="1" t="str">
        <f>TEXT(tbl_sales3[[#This Row],[Sale_Date]],"mmmm")</f>
        <v>October</v>
      </c>
      <c r="V190" s="2">
        <f>EOMONTH(tbl_sales3[[#This Row],[Sale_Date]],0)</f>
        <v>45230</v>
      </c>
      <c r="W190" s="1" t="str">
        <f>IF(AND(tbl_sales3[[#This Row],[Sale_Price]]&gt;1000000,tbl_sales3[[#This Row],[Days_on_Market]]&lt;30),"High Demand","Normal")</f>
        <v>High Demand</v>
      </c>
    </row>
    <row r="191" spans="1:23" x14ac:dyDescent="0.3">
      <c r="A191" s="1" t="s">
        <v>229</v>
      </c>
      <c r="B191" s="1" t="s">
        <v>26</v>
      </c>
      <c r="C191" s="1" t="s">
        <v>18</v>
      </c>
      <c r="D191">
        <v>5</v>
      </c>
      <c r="E191">
        <v>4</v>
      </c>
      <c r="F191">
        <v>3295</v>
      </c>
      <c r="G191">
        <v>1532289</v>
      </c>
      <c r="H191">
        <v>1467249</v>
      </c>
      <c r="I191" s="2">
        <v>45232</v>
      </c>
      <c r="J191" s="2">
        <v>45312</v>
      </c>
      <c r="K191">
        <v>80</v>
      </c>
      <c r="L191" s="1" t="s">
        <v>44</v>
      </c>
      <c r="M191" s="1" t="s">
        <v>28</v>
      </c>
      <c r="N191">
        <v>4.4999999999999998E-2</v>
      </c>
      <c r="O191">
        <v>66026.210000000006</v>
      </c>
      <c r="P191">
        <v>-65040</v>
      </c>
      <c r="Q191" t="str">
        <f>IF(tbl_sales3[[#This Row],[Sale_Price]]&lt;500000,"Budget",
IF(tbl_sales3[[#This Row],[Sale_Price]]&lt;1000000,"Mid-Range",
"Luxury"))</f>
        <v>Luxury</v>
      </c>
      <c r="R191" s="4">
        <f>IFERROR(tbl_sales3[[#This Row],[Sale_Price]]*tbl_sales3[[#This Row],[Commission_Rate]],0)</f>
        <v>66026.205000000002</v>
      </c>
      <c r="S191" t="str">
        <f>IF(ABS(tbl_sales3[[#This Row],[Commission_Earned]]-tbl_sales3[[#This Row],[Calculated_Commission]])&lt;0.02,"Correct","Mismatch")</f>
        <v>Correct</v>
      </c>
      <c r="T191">
        <f>YEAR(tbl_sales3[[#This Row],[Sale_Date]])</f>
        <v>2024</v>
      </c>
      <c r="U191" s="1" t="str">
        <f>TEXT(tbl_sales3[[#This Row],[Sale_Date]],"mmmm")</f>
        <v>January</v>
      </c>
      <c r="V191" s="2">
        <f>EOMONTH(tbl_sales3[[#This Row],[Sale_Date]],0)</f>
        <v>45322</v>
      </c>
      <c r="W191" s="1" t="str">
        <f>IF(AND(tbl_sales3[[#This Row],[Sale_Price]]&gt;1000000,tbl_sales3[[#This Row],[Days_on_Market]]&lt;30),"High Demand","Normal")</f>
        <v>Normal</v>
      </c>
    </row>
    <row r="192" spans="1:23" x14ac:dyDescent="0.3">
      <c r="A192" s="1" t="s">
        <v>230</v>
      </c>
      <c r="B192" s="1" t="s">
        <v>37</v>
      </c>
      <c r="C192" s="1" t="s">
        <v>33</v>
      </c>
      <c r="D192">
        <v>4</v>
      </c>
      <c r="E192">
        <v>1</v>
      </c>
      <c r="F192">
        <v>2855</v>
      </c>
      <c r="G192">
        <v>880443</v>
      </c>
      <c r="H192">
        <v>869370</v>
      </c>
      <c r="I192" s="2">
        <v>44968</v>
      </c>
      <c r="J192" s="2">
        <v>44993</v>
      </c>
      <c r="K192">
        <v>25</v>
      </c>
      <c r="L192" s="1" t="s">
        <v>39</v>
      </c>
      <c r="M192" s="1" t="s">
        <v>24</v>
      </c>
      <c r="N192">
        <v>4.4999999999999998E-2</v>
      </c>
      <c r="O192">
        <v>39121.65</v>
      </c>
      <c r="P192">
        <v>-11073</v>
      </c>
      <c r="Q192" t="str">
        <f>IF(tbl_sales3[[#This Row],[Sale_Price]]&lt;500000,"Budget",
IF(tbl_sales3[[#This Row],[Sale_Price]]&lt;1000000,"Mid-Range",
"Luxury"))</f>
        <v>Mid-Range</v>
      </c>
      <c r="R192" s="4">
        <f>IFERROR(tbl_sales3[[#This Row],[Sale_Price]]*tbl_sales3[[#This Row],[Commission_Rate]],0)</f>
        <v>39121.65</v>
      </c>
      <c r="S192" t="str">
        <f>IF(ABS(tbl_sales3[[#This Row],[Commission_Earned]]-tbl_sales3[[#This Row],[Calculated_Commission]])&lt;0.02,"Correct","Mismatch")</f>
        <v>Correct</v>
      </c>
      <c r="T192">
        <f>YEAR(tbl_sales3[[#This Row],[Sale_Date]])</f>
        <v>2023</v>
      </c>
      <c r="U192" s="1" t="str">
        <f>TEXT(tbl_sales3[[#This Row],[Sale_Date]],"mmmm")</f>
        <v>March</v>
      </c>
      <c r="V192" s="2">
        <f>EOMONTH(tbl_sales3[[#This Row],[Sale_Date]],0)</f>
        <v>45016</v>
      </c>
      <c r="W192" s="1" t="str">
        <f>IF(AND(tbl_sales3[[#This Row],[Sale_Price]]&gt;1000000,tbl_sales3[[#This Row],[Days_on_Market]]&lt;30),"High Demand","Normal")</f>
        <v>Normal</v>
      </c>
    </row>
    <row r="193" spans="1:23" x14ac:dyDescent="0.3">
      <c r="A193" s="1" t="s">
        <v>231</v>
      </c>
      <c r="B193" s="1" t="s">
        <v>32</v>
      </c>
      <c r="C193" s="1" t="s">
        <v>33</v>
      </c>
      <c r="D193">
        <v>5</v>
      </c>
      <c r="E193">
        <v>3</v>
      </c>
      <c r="F193">
        <v>3093</v>
      </c>
      <c r="G193">
        <v>1206462</v>
      </c>
      <c r="H193">
        <v>1129168</v>
      </c>
      <c r="I193" s="2">
        <v>45033</v>
      </c>
      <c r="J193" s="2">
        <v>45059</v>
      </c>
      <c r="K193">
        <v>26</v>
      </c>
      <c r="L193" s="1" t="s">
        <v>44</v>
      </c>
      <c r="M193" s="1" t="s">
        <v>28</v>
      </c>
      <c r="N193">
        <v>0.05</v>
      </c>
      <c r="O193">
        <v>56458.400000000001</v>
      </c>
      <c r="P193">
        <v>-77294</v>
      </c>
      <c r="Q193" t="str">
        <f>IF(tbl_sales3[[#This Row],[Sale_Price]]&lt;500000,"Budget",
IF(tbl_sales3[[#This Row],[Sale_Price]]&lt;1000000,"Mid-Range",
"Luxury"))</f>
        <v>Luxury</v>
      </c>
      <c r="R193" s="4">
        <f>IFERROR(tbl_sales3[[#This Row],[Sale_Price]]*tbl_sales3[[#This Row],[Commission_Rate]],0)</f>
        <v>56458.400000000001</v>
      </c>
      <c r="S193" t="str">
        <f>IF(ABS(tbl_sales3[[#This Row],[Commission_Earned]]-tbl_sales3[[#This Row],[Calculated_Commission]])&lt;0.02,"Correct","Mismatch")</f>
        <v>Correct</v>
      </c>
      <c r="T193">
        <f>YEAR(tbl_sales3[[#This Row],[Sale_Date]])</f>
        <v>2023</v>
      </c>
      <c r="U193" s="1" t="str">
        <f>TEXT(tbl_sales3[[#This Row],[Sale_Date]],"mmmm")</f>
        <v>May</v>
      </c>
      <c r="V193" s="2">
        <f>EOMONTH(tbl_sales3[[#This Row],[Sale_Date]],0)</f>
        <v>45077</v>
      </c>
      <c r="W193" s="1" t="str">
        <f>IF(AND(tbl_sales3[[#This Row],[Sale_Price]]&gt;1000000,tbl_sales3[[#This Row],[Days_on_Market]]&lt;30),"High Demand","Normal")</f>
        <v>High Demand</v>
      </c>
    </row>
    <row r="194" spans="1:23" x14ac:dyDescent="0.3">
      <c r="A194" s="1" t="s">
        <v>232</v>
      </c>
      <c r="B194" s="1" t="s">
        <v>22</v>
      </c>
      <c r="C194" s="1" t="s">
        <v>33</v>
      </c>
      <c r="D194">
        <v>3</v>
      </c>
      <c r="E194">
        <v>4</v>
      </c>
      <c r="F194">
        <v>1516</v>
      </c>
      <c r="G194">
        <v>904669</v>
      </c>
      <c r="H194">
        <v>861762</v>
      </c>
      <c r="I194" s="2">
        <v>45137</v>
      </c>
      <c r="J194" s="2">
        <v>45194</v>
      </c>
      <c r="K194">
        <v>57</v>
      </c>
      <c r="L194" s="1" t="s">
        <v>30</v>
      </c>
      <c r="M194" s="1" t="s">
        <v>20</v>
      </c>
      <c r="N194">
        <v>0.04</v>
      </c>
      <c r="O194">
        <v>34470.480000000003</v>
      </c>
      <c r="P194">
        <v>-42907</v>
      </c>
      <c r="Q194" t="str">
        <f>IF(tbl_sales3[[#This Row],[Sale_Price]]&lt;500000,"Budget",
IF(tbl_sales3[[#This Row],[Sale_Price]]&lt;1000000,"Mid-Range",
"Luxury"))</f>
        <v>Mid-Range</v>
      </c>
      <c r="R194" s="4">
        <f>IFERROR(tbl_sales3[[#This Row],[Sale_Price]]*tbl_sales3[[#This Row],[Commission_Rate]],0)</f>
        <v>34470.480000000003</v>
      </c>
      <c r="S194" t="str">
        <f>IF(ABS(tbl_sales3[[#This Row],[Commission_Earned]]-tbl_sales3[[#This Row],[Calculated_Commission]])&lt;0.02,"Correct","Mismatch")</f>
        <v>Correct</v>
      </c>
      <c r="T194">
        <f>YEAR(tbl_sales3[[#This Row],[Sale_Date]])</f>
        <v>2023</v>
      </c>
      <c r="U194" s="1" t="str">
        <f>TEXT(tbl_sales3[[#This Row],[Sale_Date]],"mmmm")</f>
        <v>September</v>
      </c>
      <c r="V194" s="2">
        <f>EOMONTH(tbl_sales3[[#This Row],[Sale_Date]],0)</f>
        <v>45199</v>
      </c>
      <c r="W194" s="1" t="str">
        <f>IF(AND(tbl_sales3[[#This Row],[Sale_Price]]&gt;1000000,tbl_sales3[[#This Row],[Days_on_Market]]&lt;30),"High Demand","Normal")</f>
        <v>Normal</v>
      </c>
    </row>
    <row r="195" spans="1:23" x14ac:dyDescent="0.3">
      <c r="A195" s="1" t="s">
        <v>233</v>
      </c>
      <c r="B195" s="1" t="s">
        <v>48</v>
      </c>
      <c r="C195" s="1" t="s">
        <v>33</v>
      </c>
      <c r="D195">
        <v>3</v>
      </c>
      <c r="E195">
        <v>4</v>
      </c>
      <c r="F195">
        <v>1099</v>
      </c>
      <c r="G195">
        <v>1045169</v>
      </c>
      <c r="H195">
        <v>1011526</v>
      </c>
      <c r="I195" s="2">
        <v>45476</v>
      </c>
      <c r="J195" s="2">
        <v>45525</v>
      </c>
      <c r="K195">
        <v>49</v>
      </c>
      <c r="L195" s="1" t="s">
        <v>39</v>
      </c>
      <c r="M195" s="1" t="s">
        <v>28</v>
      </c>
      <c r="N195">
        <v>4.4999999999999998E-2</v>
      </c>
      <c r="O195">
        <v>45518.67</v>
      </c>
      <c r="P195">
        <v>-33643</v>
      </c>
      <c r="Q195" t="str">
        <f>IF(tbl_sales3[[#This Row],[Sale_Price]]&lt;500000,"Budget",
IF(tbl_sales3[[#This Row],[Sale_Price]]&lt;1000000,"Mid-Range",
"Luxury"))</f>
        <v>Luxury</v>
      </c>
      <c r="R195" s="4">
        <f>IFERROR(tbl_sales3[[#This Row],[Sale_Price]]*tbl_sales3[[#This Row],[Commission_Rate]],0)</f>
        <v>45518.67</v>
      </c>
      <c r="S195" t="str">
        <f>IF(ABS(tbl_sales3[[#This Row],[Commission_Earned]]-tbl_sales3[[#This Row],[Calculated_Commission]])&lt;0.02,"Correct","Mismatch")</f>
        <v>Correct</v>
      </c>
      <c r="T195">
        <f>YEAR(tbl_sales3[[#This Row],[Sale_Date]])</f>
        <v>2024</v>
      </c>
      <c r="U195" s="1" t="str">
        <f>TEXT(tbl_sales3[[#This Row],[Sale_Date]],"mmmm")</f>
        <v>August</v>
      </c>
      <c r="V195" s="2">
        <f>EOMONTH(tbl_sales3[[#This Row],[Sale_Date]],0)</f>
        <v>45535</v>
      </c>
      <c r="W195" s="1" t="str">
        <f>IF(AND(tbl_sales3[[#This Row],[Sale_Price]]&gt;1000000,tbl_sales3[[#This Row],[Days_on_Market]]&lt;30),"High Demand","Normal")</f>
        <v>Normal</v>
      </c>
    </row>
    <row r="196" spans="1:23" x14ac:dyDescent="0.3">
      <c r="A196" s="1" t="s">
        <v>234</v>
      </c>
      <c r="B196" s="1" t="s">
        <v>26</v>
      </c>
      <c r="C196" s="1" t="s">
        <v>35</v>
      </c>
      <c r="D196">
        <v>5</v>
      </c>
      <c r="E196">
        <v>3</v>
      </c>
      <c r="F196">
        <v>2163</v>
      </c>
      <c r="G196">
        <v>661934</v>
      </c>
      <c r="H196">
        <v>590010</v>
      </c>
      <c r="I196" s="2">
        <v>45299</v>
      </c>
      <c r="J196" s="2">
        <v>45331</v>
      </c>
      <c r="K196">
        <v>32</v>
      </c>
      <c r="L196" s="1" t="s">
        <v>19</v>
      </c>
      <c r="M196" s="1" t="s">
        <v>24</v>
      </c>
      <c r="N196">
        <v>0.04</v>
      </c>
      <c r="O196">
        <v>23600.400000000001</v>
      </c>
      <c r="P196">
        <v>-71924</v>
      </c>
      <c r="Q196" t="str">
        <f>IF(tbl_sales3[[#This Row],[Sale_Price]]&lt;500000,"Budget",
IF(tbl_sales3[[#This Row],[Sale_Price]]&lt;1000000,"Mid-Range",
"Luxury"))</f>
        <v>Mid-Range</v>
      </c>
      <c r="R196" s="4">
        <f>IFERROR(tbl_sales3[[#This Row],[Sale_Price]]*tbl_sales3[[#This Row],[Commission_Rate]],0)</f>
        <v>23600.400000000001</v>
      </c>
      <c r="S196" t="str">
        <f>IF(ABS(tbl_sales3[[#This Row],[Commission_Earned]]-tbl_sales3[[#This Row],[Calculated_Commission]])&lt;0.02,"Correct","Mismatch")</f>
        <v>Correct</v>
      </c>
      <c r="T196">
        <f>YEAR(tbl_sales3[[#This Row],[Sale_Date]])</f>
        <v>2024</v>
      </c>
      <c r="U196" s="1" t="str">
        <f>TEXT(tbl_sales3[[#This Row],[Sale_Date]],"mmmm")</f>
        <v>February</v>
      </c>
      <c r="V196" s="2">
        <f>EOMONTH(tbl_sales3[[#This Row],[Sale_Date]],0)</f>
        <v>45351</v>
      </c>
      <c r="W196" s="1" t="str">
        <f>IF(AND(tbl_sales3[[#This Row],[Sale_Price]]&gt;1000000,tbl_sales3[[#This Row],[Days_on_Market]]&lt;30),"High Demand","Normal")</f>
        <v>Normal</v>
      </c>
    </row>
    <row r="197" spans="1:23" x14ac:dyDescent="0.3">
      <c r="A197" s="1" t="s">
        <v>235</v>
      </c>
      <c r="B197" s="1" t="s">
        <v>41</v>
      </c>
      <c r="C197" s="1" t="s">
        <v>33</v>
      </c>
      <c r="D197">
        <v>5</v>
      </c>
      <c r="E197">
        <v>4</v>
      </c>
      <c r="F197">
        <v>3074</v>
      </c>
      <c r="G197">
        <v>1612832</v>
      </c>
      <c r="H197">
        <v>1606363</v>
      </c>
      <c r="I197" s="2">
        <v>44954</v>
      </c>
      <c r="J197" s="2">
        <v>45018</v>
      </c>
      <c r="K197">
        <v>64</v>
      </c>
      <c r="L197" s="1" t="s">
        <v>30</v>
      </c>
      <c r="M197" s="1" t="s">
        <v>20</v>
      </c>
      <c r="N197">
        <v>4.4999999999999998E-2</v>
      </c>
      <c r="O197">
        <v>72286.33</v>
      </c>
      <c r="P197">
        <v>-6469</v>
      </c>
      <c r="Q197" t="str">
        <f>IF(tbl_sales3[[#This Row],[Sale_Price]]&lt;500000,"Budget",
IF(tbl_sales3[[#This Row],[Sale_Price]]&lt;1000000,"Mid-Range",
"Luxury"))</f>
        <v>Luxury</v>
      </c>
      <c r="R197" s="4">
        <f>IFERROR(tbl_sales3[[#This Row],[Sale_Price]]*tbl_sales3[[#This Row],[Commission_Rate]],0)</f>
        <v>72286.334999999992</v>
      </c>
      <c r="S197" t="str">
        <f>IF(ABS(tbl_sales3[[#This Row],[Commission_Earned]]-tbl_sales3[[#This Row],[Calculated_Commission]])&lt;0.02,"Correct","Mismatch")</f>
        <v>Correct</v>
      </c>
      <c r="T197">
        <f>YEAR(tbl_sales3[[#This Row],[Sale_Date]])</f>
        <v>2023</v>
      </c>
      <c r="U197" s="1" t="str">
        <f>TEXT(tbl_sales3[[#This Row],[Sale_Date]],"mmmm")</f>
        <v>April</v>
      </c>
      <c r="V197" s="2">
        <f>EOMONTH(tbl_sales3[[#This Row],[Sale_Date]],0)</f>
        <v>45046</v>
      </c>
      <c r="W197" s="1" t="str">
        <f>IF(AND(tbl_sales3[[#This Row],[Sale_Price]]&gt;1000000,tbl_sales3[[#This Row],[Days_on_Market]]&lt;30),"High Demand","Normal")</f>
        <v>Normal</v>
      </c>
    </row>
    <row r="198" spans="1:23" x14ac:dyDescent="0.3">
      <c r="A198" s="1" t="s">
        <v>236</v>
      </c>
      <c r="B198" s="1" t="s">
        <v>37</v>
      </c>
      <c r="C198" s="1" t="s">
        <v>38</v>
      </c>
      <c r="D198">
        <v>2</v>
      </c>
      <c r="E198">
        <v>4</v>
      </c>
      <c r="F198">
        <v>2816</v>
      </c>
      <c r="G198">
        <v>1117054</v>
      </c>
      <c r="H198">
        <v>1095017</v>
      </c>
      <c r="I198" s="2">
        <v>45049</v>
      </c>
      <c r="J198" s="2">
        <v>45083</v>
      </c>
      <c r="K198">
        <v>34</v>
      </c>
      <c r="L198" s="1" t="s">
        <v>19</v>
      </c>
      <c r="M198" s="1" t="s">
        <v>28</v>
      </c>
      <c r="N198">
        <v>0.05</v>
      </c>
      <c r="O198">
        <v>54750.85</v>
      </c>
      <c r="P198">
        <v>-22037</v>
      </c>
      <c r="Q198" t="str">
        <f>IF(tbl_sales3[[#This Row],[Sale_Price]]&lt;500000,"Budget",
IF(tbl_sales3[[#This Row],[Sale_Price]]&lt;1000000,"Mid-Range",
"Luxury"))</f>
        <v>Luxury</v>
      </c>
      <c r="R198" s="4">
        <f>IFERROR(tbl_sales3[[#This Row],[Sale_Price]]*tbl_sales3[[#This Row],[Commission_Rate]],0)</f>
        <v>54750.850000000006</v>
      </c>
      <c r="S198" t="str">
        <f>IF(ABS(tbl_sales3[[#This Row],[Commission_Earned]]-tbl_sales3[[#This Row],[Calculated_Commission]])&lt;0.02,"Correct","Mismatch")</f>
        <v>Correct</v>
      </c>
      <c r="T198">
        <f>YEAR(tbl_sales3[[#This Row],[Sale_Date]])</f>
        <v>2023</v>
      </c>
      <c r="U198" s="1" t="str">
        <f>TEXT(tbl_sales3[[#This Row],[Sale_Date]],"mmmm")</f>
        <v>June</v>
      </c>
      <c r="V198" s="2">
        <f>EOMONTH(tbl_sales3[[#This Row],[Sale_Date]],0)</f>
        <v>45107</v>
      </c>
      <c r="W198" s="1" t="str">
        <f>IF(AND(tbl_sales3[[#This Row],[Sale_Price]]&gt;1000000,tbl_sales3[[#This Row],[Days_on_Market]]&lt;30),"High Demand","Normal")</f>
        <v>Normal</v>
      </c>
    </row>
    <row r="199" spans="1:23" x14ac:dyDescent="0.3">
      <c r="A199" s="1" t="s">
        <v>237</v>
      </c>
      <c r="B199" s="1" t="s">
        <v>22</v>
      </c>
      <c r="C199" s="1" t="s">
        <v>35</v>
      </c>
      <c r="D199">
        <v>3</v>
      </c>
      <c r="E199">
        <v>4</v>
      </c>
      <c r="F199">
        <v>1840</v>
      </c>
      <c r="G199">
        <v>1751533</v>
      </c>
      <c r="H199">
        <v>1738316</v>
      </c>
      <c r="I199" s="2">
        <v>45455</v>
      </c>
      <c r="J199" s="2">
        <v>45522</v>
      </c>
      <c r="K199">
        <v>67</v>
      </c>
      <c r="L199" s="1" t="s">
        <v>42</v>
      </c>
      <c r="M199" s="1" t="s">
        <v>24</v>
      </c>
      <c r="N199">
        <v>0.05</v>
      </c>
      <c r="O199">
        <v>86915.8</v>
      </c>
      <c r="P199">
        <v>-13217</v>
      </c>
      <c r="Q199" t="str">
        <f>IF(tbl_sales3[[#This Row],[Sale_Price]]&lt;500000,"Budget",
IF(tbl_sales3[[#This Row],[Sale_Price]]&lt;1000000,"Mid-Range",
"Luxury"))</f>
        <v>Luxury</v>
      </c>
      <c r="R199" s="4">
        <f>IFERROR(tbl_sales3[[#This Row],[Sale_Price]]*tbl_sales3[[#This Row],[Commission_Rate]],0)</f>
        <v>86915.8</v>
      </c>
      <c r="S199" t="str">
        <f>IF(ABS(tbl_sales3[[#This Row],[Commission_Earned]]-tbl_sales3[[#This Row],[Calculated_Commission]])&lt;0.02,"Correct","Mismatch")</f>
        <v>Correct</v>
      </c>
      <c r="T199">
        <f>YEAR(tbl_sales3[[#This Row],[Sale_Date]])</f>
        <v>2024</v>
      </c>
      <c r="U199" s="1" t="str">
        <f>TEXT(tbl_sales3[[#This Row],[Sale_Date]],"mmmm")</f>
        <v>August</v>
      </c>
      <c r="V199" s="2">
        <f>EOMONTH(tbl_sales3[[#This Row],[Sale_Date]],0)</f>
        <v>45535</v>
      </c>
      <c r="W199" s="1" t="str">
        <f>IF(AND(tbl_sales3[[#This Row],[Sale_Price]]&gt;1000000,tbl_sales3[[#This Row],[Days_on_Market]]&lt;30),"High Demand","Normal")</f>
        <v>Normal</v>
      </c>
    </row>
    <row r="200" spans="1:23" x14ac:dyDescent="0.3">
      <c r="A200" s="1" t="s">
        <v>238</v>
      </c>
      <c r="B200" s="1" t="s">
        <v>32</v>
      </c>
      <c r="C200" s="1" t="s">
        <v>18</v>
      </c>
      <c r="D200">
        <v>4</v>
      </c>
      <c r="E200">
        <v>2</v>
      </c>
      <c r="F200">
        <v>3334</v>
      </c>
      <c r="G200">
        <v>1792792</v>
      </c>
      <c r="H200">
        <v>1714531</v>
      </c>
      <c r="I200" s="2">
        <v>45618</v>
      </c>
      <c r="J200" s="2">
        <v>45687</v>
      </c>
      <c r="K200">
        <v>69</v>
      </c>
      <c r="L200" s="1" t="s">
        <v>53</v>
      </c>
      <c r="M200" s="1" t="s">
        <v>20</v>
      </c>
      <c r="N200">
        <v>4.4999999999999998E-2</v>
      </c>
      <c r="O200">
        <v>77153.899999999994</v>
      </c>
      <c r="P200">
        <v>-78261</v>
      </c>
      <c r="Q200" t="str">
        <f>IF(tbl_sales3[[#This Row],[Sale_Price]]&lt;500000,"Budget",
IF(tbl_sales3[[#This Row],[Sale_Price]]&lt;1000000,"Mid-Range",
"Luxury"))</f>
        <v>Luxury</v>
      </c>
      <c r="R200" s="4">
        <f>IFERROR(tbl_sales3[[#This Row],[Sale_Price]]*tbl_sales3[[#This Row],[Commission_Rate]],0)</f>
        <v>77153.895000000004</v>
      </c>
      <c r="S200" t="str">
        <f>IF(ABS(tbl_sales3[[#This Row],[Commission_Earned]]-tbl_sales3[[#This Row],[Calculated_Commission]])&lt;0.02,"Correct","Mismatch")</f>
        <v>Correct</v>
      </c>
      <c r="T200">
        <f>YEAR(tbl_sales3[[#This Row],[Sale_Date]])</f>
        <v>2025</v>
      </c>
      <c r="U200" s="1" t="str">
        <f>TEXT(tbl_sales3[[#This Row],[Sale_Date]],"mmmm")</f>
        <v>January</v>
      </c>
      <c r="V200" s="2">
        <f>EOMONTH(tbl_sales3[[#This Row],[Sale_Date]],0)</f>
        <v>45688</v>
      </c>
      <c r="W200" s="1" t="str">
        <f>IF(AND(tbl_sales3[[#This Row],[Sale_Price]]&gt;1000000,tbl_sales3[[#This Row],[Days_on_Market]]&lt;30),"High Demand","Normal")</f>
        <v>Normal</v>
      </c>
    </row>
    <row r="201" spans="1:23" x14ac:dyDescent="0.3">
      <c r="A201" s="1" t="s">
        <v>239</v>
      </c>
      <c r="B201" s="1" t="s">
        <v>41</v>
      </c>
      <c r="C201" s="1" t="s">
        <v>33</v>
      </c>
      <c r="D201">
        <v>1</v>
      </c>
      <c r="E201">
        <v>3</v>
      </c>
      <c r="F201">
        <v>1188</v>
      </c>
      <c r="G201">
        <v>1207362</v>
      </c>
      <c r="H201">
        <v>1143060</v>
      </c>
      <c r="I201" s="2">
        <v>44928</v>
      </c>
      <c r="J201" s="2">
        <v>44948</v>
      </c>
      <c r="K201">
        <v>20</v>
      </c>
      <c r="L201" s="1" t="s">
        <v>53</v>
      </c>
      <c r="M201" s="1" t="s">
        <v>28</v>
      </c>
      <c r="N201">
        <v>4.4999999999999998E-2</v>
      </c>
      <c r="O201">
        <v>51437.7</v>
      </c>
      <c r="P201">
        <v>-64302</v>
      </c>
      <c r="Q201" t="str">
        <f>IF(tbl_sales3[[#This Row],[Sale_Price]]&lt;500000,"Budget",
IF(tbl_sales3[[#This Row],[Sale_Price]]&lt;1000000,"Mid-Range",
"Luxury"))</f>
        <v>Luxury</v>
      </c>
      <c r="R201" s="4">
        <f>IFERROR(tbl_sales3[[#This Row],[Sale_Price]]*tbl_sales3[[#This Row],[Commission_Rate]],0)</f>
        <v>51437.7</v>
      </c>
      <c r="S201" t="str">
        <f>IF(ABS(tbl_sales3[[#This Row],[Commission_Earned]]-tbl_sales3[[#This Row],[Calculated_Commission]])&lt;0.02,"Correct","Mismatch")</f>
        <v>Correct</v>
      </c>
      <c r="T201">
        <f>YEAR(tbl_sales3[[#This Row],[Sale_Date]])</f>
        <v>2023</v>
      </c>
      <c r="U201" s="1" t="str">
        <f>TEXT(tbl_sales3[[#This Row],[Sale_Date]],"mmmm")</f>
        <v>January</v>
      </c>
      <c r="V201" s="2">
        <f>EOMONTH(tbl_sales3[[#This Row],[Sale_Date]],0)</f>
        <v>44957</v>
      </c>
      <c r="W201" s="1" t="str">
        <f>IF(AND(tbl_sales3[[#This Row],[Sale_Price]]&gt;1000000,tbl_sales3[[#This Row],[Days_on_Market]]&lt;30),"High Demand","Normal")</f>
        <v>High Demand</v>
      </c>
    </row>
    <row r="202" spans="1:23" x14ac:dyDescent="0.3">
      <c r="A202" s="1" t="s">
        <v>240</v>
      </c>
      <c r="B202" s="1" t="s">
        <v>32</v>
      </c>
      <c r="C202" s="1" t="s">
        <v>38</v>
      </c>
      <c r="D202">
        <v>1</v>
      </c>
      <c r="E202">
        <v>2</v>
      </c>
      <c r="F202">
        <v>1032</v>
      </c>
      <c r="G202">
        <v>1076891</v>
      </c>
      <c r="H202">
        <v>1042227</v>
      </c>
      <c r="I202" s="2">
        <v>45249</v>
      </c>
      <c r="J202" s="2">
        <v>45335</v>
      </c>
      <c r="K202">
        <v>86</v>
      </c>
      <c r="L202" s="1" t="s">
        <v>42</v>
      </c>
      <c r="M202" s="1" t="s">
        <v>28</v>
      </c>
      <c r="N202">
        <v>4.4999999999999998E-2</v>
      </c>
      <c r="O202">
        <v>46900.21</v>
      </c>
      <c r="P202">
        <v>-34664</v>
      </c>
      <c r="Q202" t="str">
        <f>IF(tbl_sales3[[#This Row],[Sale_Price]]&lt;500000,"Budget",
IF(tbl_sales3[[#This Row],[Sale_Price]]&lt;1000000,"Mid-Range",
"Luxury"))</f>
        <v>Luxury</v>
      </c>
      <c r="R202" s="4">
        <f>IFERROR(tbl_sales3[[#This Row],[Sale_Price]]*tbl_sales3[[#This Row],[Commission_Rate]],0)</f>
        <v>46900.214999999997</v>
      </c>
      <c r="S202" t="str">
        <f>IF(ABS(tbl_sales3[[#This Row],[Commission_Earned]]-tbl_sales3[[#This Row],[Calculated_Commission]])&lt;0.02,"Correct","Mismatch")</f>
        <v>Correct</v>
      </c>
      <c r="T202">
        <f>YEAR(tbl_sales3[[#This Row],[Sale_Date]])</f>
        <v>2024</v>
      </c>
      <c r="U202" s="1" t="str">
        <f>TEXT(tbl_sales3[[#This Row],[Sale_Date]],"mmmm")</f>
        <v>February</v>
      </c>
      <c r="V202" s="2">
        <f>EOMONTH(tbl_sales3[[#This Row],[Sale_Date]],0)</f>
        <v>45351</v>
      </c>
      <c r="W202" s="1" t="str">
        <f>IF(AND(tbl_sales3[[#This Row],[Sale_Price]]&gt;1000000,tbl_sales3[[#This Row],[Days_on_Market]]&lt;30),"High Demand","Normal")</f>
        <v>Normal</v>
      </c>
    </row>
    <row r="203" spans="1:23" x14ac:dyDescent="0.3">
      <c r="A203" s="1" t="s">
        <v>241</v>
      </c>
      <c r="B203" s="1" t="s">
        <v>32</v>
      </c>
      <c r="C203" s="1" t="s">
        <v>18</v>
      </c>
      <c r="D203">
        <v>5</v>
      </c>
      <c r="E203">
        <v>4</v>
      </c>
      <c r="F203">
        <v>1370</v>
      </c>
      <c r="G203">
        <v>966074</v>
      </c>
      <c r="H203">
        <v>909046</v>
      </c>
      <c r="I203" s="2">
        <v>45371</v>
      </c>
      <c r="J203" s="2">
        <v>45397</v>
      </c>
      <c r="K203">
        <v>26</v>
      </c>
      <c r="L203" s="1" t="s">
        <v>27</v>
      </c>
      <c r="M203" s="1" t="s">
        <v>28</v>
      </c>
      <c r="N203">
        <v>4.4999999999999998E-2</v>
      </c>
      <c r="O203">
        <v>40907.07</v>
      </c>
      <c r="P203">
        <v>-57028</v>
      </c>
      <c r="Q203" t="str">
        <f>IF(tbl_sales3[[#This Row],[Sale_Price]]&lt;500000,"Budget",
IF(tbl_sales3[[#This Row],[Sale_Price]]&lt;1000000,"Mid-Range",
"Luxury"))</f>
        <v>Mid-Range</v>
      </c>
      <c r="R203" s="4">
        <f>IFERROR(tbl_sales3[[#This Row],[Sale_Price]]*tbl_sales3[[#This Row],[Commission_Rate]],0)</f>
        <v>40907.07</v>
      </c>
      <c r="S203" t="str">
        <f>IF(ABS(tbl_sales3[[#This Row],[Commission_Earned]]-tbl_sales3[[#This Row],[Calculated_Commission]])&lt;0.02,"Correct","Mismatch")</f>
        <v>Correct</v>
      </c>
      <c r="T203">
        <f>YEAR(tbl_sales3[[#This Row],[Sale_Date]])</f>
        <v>2024</v>
      </c>
      <c r="U203" s="1" t="str">
        <f>TEXT(tbl_sales3[[#This Row],[Sale_Date]],"mmmm")</f>
        <v>April</v>
      </c>
      <c r="V203" s="2">
        <f>EOMONTH(tbl_sales3[[#This Row],[Sale_Date]],0)</f>
        <v>45412</v>
      </c>
      <c r="W203" s="1" t="str">
        <f>IF(AND(tbl_sales3[[#This Row],[Sale_Price]]&gt;1000000,tbl_sales3[[#This Row],[Days_on_Market]]&lt;30),"High Demand","Normal")</f>
        <v>Normal</v>
      </c>
    </row>
    <row r="204" spans="1:23" x14ac:dyDescent="0.3">
      <c r="A204" s="1" t="s">
        <v>242</v>
      </c>
      <c r="B204" s="1" t="s">
        <v>22</v>
      </c>
      <c r="C204" s="1" t="s">
        <v>18</v>
      </c>
      <c r="D204">
        <v>5</v>
      </c>
      <c r="E204">
        <v>4</v>
      </c>
      <c r="F204">
        <v>1682</v>
      </c>
      <c r="G204">
        <v>1465368</v>
      </c>
      <c r="H204">
        <v>1419699</v>
      </c>
      <c r="I204" s="2">
        <v>45291</v>
      </c>
      <c r="J204" s="2">
        <v>45353</v>
      </c>
      <c r="K204">
        <v>62</v>
      </c>
      <c r="L204" s="1" t="s">
        <v>19</v>
      </c>
      <c r="M204" s="1" t="s">
        <v>28</v>
      </c>
      <c r="N204">
        <v>4.4999999999999998E-2</v>
      </c>
      <c r="O204">
        <v>63886.45</v>
      </c>
      <c r="P204">
        <v>-45669</v>
      </c>
      <c r="Q204" t="str">
        <f>IF(tbl_sales3[[#This Row],[Sale_Price]]&lt;500000,"Budget",
IF(tbl_sales3[[#This Row],[Sale_Price]]&lt;1000000,"Mid-Range",
"Luxury"))</f>
        <v>Luxury</v>
      </c>
      <c r="R204" s="4">
        <f>IFERROR(tbl_sales3[[#This Row],[Sale_Price]]*tbl_sales3[[#This Row],[Commission_Rate]],0)</f>
        <v>63886.454999999994</v>
      </c>
      <c r="S204" t="str">
        <f>IF(ABS(tbl_sales3[[#This Row],[Commission_Earned]]-tbl_sales3[[#This Row],[Calculated_Commission]])&lt;0.02,"Correct","Mismatch")</f>
        <v>Correct</v>
      </c>
      <c r="T204">
        <f>YEAR(tbl_sales3[[#This Row],[Sale_Date]])</f>
        <v>2024</v>
      </c>
      <c r="U204" s="1" t="str">
        <f>TEXT(tbl_sales3[[#This Row],[Sale_Date]],"mmmm")</f>
        <v>March</v>
      </c>
      <c r="V204" s="2">
        <f>EOMONTH(tbl_sales3[[#This Row],[Sale_Date]],0)</f>
        <v>45382</v>
      </c>
      <c r="W204" s="1" t="str">
        <f>IF(AND(tbl_sales3[[#This Row],[Sale_Price]]&gt;1000000,tbl_sales3[[#This Row],[Days_on_Market]]&lt;30),"High Demand","Normal")</f>
        <v>Normal</v>
      </c>
    </row>
    <row r="205" spans="1:23" x14ac:dyDescent="0.3">
      <c r="A205" s="1" t="s">
        <v>243</v>
      </c>
      <c r="B205" s="1" t="s">
        <v>22</v>
      </c>
      <c r="C205" s="1" t="s">
        <v>23</v>
      </c>
      <c r="D205">
        <v>4</v>
      </c>
      <c r="E205">
        <v>1</v>
      </c>
      <c r="F205">
        <v>1425</v>
      </c>
      <c r="G205">
        <v>893135</v>
      </c>
      <c r="H205">
        <v>841602</v>
      </c>
      <c r="I205" s="2">
        <v>44995</v>
      </c>
      <c r="J205" s="2">
        <v>45022</v>
      </c>
      <c r="K205">
        <v>27</v>
      </c>
      <c r="L205" s="1" t="s">
        <v>30</v>
      </c>
      <c r="M205" s="1" t="s">
        <v>24</v>
      </c>
      <c r="N205">
        <v>0.04</v>
      </c>
      <c r="O205">
        <v>33664.080000000002</v>
      </c>
      <c r="P205">
        <v>-51533</v>
      </c>
      <c r="Q205" t="str">
        <f>IF(tbl_sales3[[#This Row],[Sale_Price]]&lt;500000,"Budget",
IF(tbl_sales3[[#This Row],[Sale_Price]]&lt;1000000,"Mid-Range",
"Luxury"))</f>
        <v>Mid-Range</v>
      </c>
      <c r="R205" s="4">
        <f>IFERROR(tbl_sales3[[#This Row],[Sale_Price]]*tbl_sales3[[#This Row],[Commission_Rate]],0)</f>
        <v>33664.080000000002</v>
      </c>
      <c r="S205" t="str">
        <f>IF(ABS(tbl_sales3[[#This Row],[Commission_Earned]]-tbl_sales3[[#This Row],[Calculated_Commission]])&lt;0.02,"Correct","Mismatch")</f>
        <v>Correct</v>
      </c>
      <c r="T205">
        <f>YEAR(tbl_sales3[[#This Row],[Sale_Date]])</f>
        <v>2023</v>
      </c>
      <c r="U205" s="1" t="str">
        <f>TEXT(tbl_sales3[[#This Row],[Sale_Date]],"mmmm")</f>
        <v>April</v>
      </c>
      <c r="V205" s="2">
        <f>EOMONTH(tbl_sales3[[#This Row],[Sale_Date]],0)</f>
        <v>45046</v>
      </c>
      <c r="W205" s="1" t="str">
        <f>IF(AND(tbl_sales3[[#This Row],[Sale_Price]]&gt;1000000,tbl_sales3[[#This Row],[Days_on_Market]]&lt;30),"High Demand","Normal")</f>
        <v>Normal</v>
      </c>
    </row>
    <row r="206" spans="1:23" x14ac:dyDescent="0.3">
      <c r="A206" s="1" t="s">
        <v>244</v>
      </c>
      <c r="B206" s="1" t="s">
        <v>41</v>
      </c>
      <c r="C206" s="1" t="s">
        <v>33</v>
      </c>
      <c r="D206">
        <v>1</v>
      </c>
      <c r="E206">
        <v>3</v>
      </c>
      <c r="F206">
        <v>2696</v>
      </c>
      <c r="G206">
        <v>907697</v>
      </c>
      <c r="H206">
        <v>884104</v>
      </c>
      <c r="I206" s="2">
        <v>45226</v>
      </c>
      <c r="J206" s="2">
        <v>45310</v>
      </c>
      <c r="K206">
        <v>84</v>
      </c>
      <c r="L206" s="1" t="s">
        <v>42</v>
      </c>
      <c r="M206" s="1" t="s">
        <v>28</v>
      </c>
      <c r="N206">
        <v>0.05</v>
      </c>
      <c r="O206">
        <v>44205.2</v>
      </c>
      <c r="P206">
        <v>-23593</v>
      </c>
      <c r="Q206" t="str">
        <f>IF(tbl_sales3[[#This Row],[Sale_Price]]&lt;500000,"Budget",
IF(tbl_sales3[[#This Row],[Sale_Price]]&lt;1000000,"Mid-Range",
"Luxury"))</f>
        <v>Mid-Range</v>
      </c>
      <c r="R206" s="4">
        <f>IFERROR(tbl_sales3[[#This Row],[Sale_Price]]*tbl_sales3[[#This Row],[Commission_Rate]],0)</f>
        <v>44205.200000000004</v>
      </c>
      <c r="S206" t="str">
        <f>IF(ABS(tbl_sales3[[#This Row],[Commission_Earned]]-tbl_sales3[[#This Row],[Calculated_Commission]])&lt;0.02,"Correct","Mismatch")</f>
        <v>Correct</v>
      </c>
      <c r="T206">
        <f>YEAR(tbl_sales3[[#This Row],[Sale_Date]])</f>
        <v>2024</v>
      </c>
      <c r="U206" s="1" t="str">
        <f>TEXT(tbl_sales3[[#This Row],[Sale_Date]],"mmmm")</f>
        <v>January</v>
      </c>
      <c r="V206" s="2">
        <f>EOMONTH(tbl_sales3[[#This Row],[Sale_Date]],0)</f>
        <v>45322</v>
      </c>
      <c r="W206" s="1" t="str">
        <f>IF(AND(tbl_sales3[[#This Row],[Sale_Price]]&gt;1000000,tbl_sales3[[#This Row],[Days_on_Market]]&lt;30),"High Demand","Normal")</f>
        <v>Normal</v>
      </c>
    </row>
    <row r="207" spans="1:23" x14ac:dyDescent="0.3">
      <c r="A207" s="1" t="s">
        <v>245</v>
      </c>
      <c r="B207" s="1" t="s">
        <v>59</v>
      </c>
      <c r="C207" s="1" t="s">
        <v>35</v>
      </c>
      <c r="D207">
        <v>2</v>
      </c>
      <c r="E207">
        <v>2</v>
      </c>
      <c r="F207">
        <v>1037</v>
      </c>
      <c r="G207">
        <v>1169179</v>
      </c>
      <c r="H207">
        <v>1135878</v>
      </c>
      <c r="I207" s="2">
        <v>45177</v>
      </c>
      <c r="J207" s="2">
        <v>45228</v>
      </c>
      <c r="K207">
        <v>51</v>
      </c>
      <c r="L207" s="1" t="s">
        <v>30</v>
      </c>
      <c r="M207" s="1" t="s">
        <v>20</v>
      </c>
      <c r="N207">
        <v>4.4999999999999998E-2</v>
      </c>
      <c r="O207">
        <v>51114.51</v>
      </c>
      <c r="P207">
        <v>-33301</v>
      </c>
      <c r="Q207" t="str">
        <f>IF(tbl_sales3[[#This Row],[Sale_Price]]&lt;500000,"Budget",
IF(tbl_sales3[[#This Row],[Sale_Price]]&lt;1000000,"Mid-Range",
"Luxury"))</f>
        <v>Luxury</v>
      </c>
      <c r="R207" s="4">
        <f>IFERROR(tbl_sales3[[#This Row],[Sale_Price]]*tbl_sales3[[#This Row],[Commission_Rate]],0)</f>
        <v>51114.509999999995</v>
      </c>
      <c r="S207" t="str">
        <f>IF(ABS(tbl_sales3[[#This Row],[Commission_Earned]]-tbl_sales3[[#This Row],[Calculated_Commission]])&lt;0.02,"Correct","Mismatch")</f>
        <v>Correct</v>
      </c>
      <c r="T207">
        <f>YEAR(tbl_sales3[[#This Row],[Sale_Date]])</f>
        <v>2023</v>
      </c>
      <c r="U207" s="1" t="str">
        <f>TEXT(tbl_sales3[[#This Row],[Sale_Date]],"mmmm")</f>
        <v>October</v>
      </c>
      <c r="V207" s="2">
        <f>EOMONTH(tbl_sales3[[#This Row],[Sale_Date]],0)</f>
        <v>45230</v>
      </c>
      <c r="W207" s="1" t="str">
        <f>IF(AND(tbl_sales3[[#This Row],[Sale_Price]]&gt;1000000,tbl_sales3[[#This Row],[Days_on_Market]]&lt;30),"High Demand","Normal")</f>
        <v>Normal</v>
      </c>
    </row>
    <row r="208" spans="1:23" x14ac:dyDescent="0.3">
      <c r="A208" s="1" t="s">
        <v>246</v>
      </c>
      <c r="B208" s="1" t="s">
        <v>59</v>
      </c>
      <c r="C208" s="1" t="s">
        <v>18</v>
      </c>
      <c r="D208">
        <v>1</v>
      </c>
      <c r="E208">
        <v>4</v>
      </c>
      <c r="F208">
        <v>881</v>
      </c>
      <c r="G208">
        <v>1743431</v>
      </c>
      <c r="H208">
        <v>1696481</v>
      </c>
      <c r="I208" s="2">
        <v>45561</v>
      </c>
      <c r="J208" s="2">
        <v>45641</v>
      </c>
      <c r="K208">
        <v>80</v>
      </c>
      <c r="L208" s="1" t="s">
        <v>42</v>
      </c>
      <c r="M208" s="1" t="s">
        <v>24</v>
      </c>
      <c r="N208">
        <v>0.05</v>
      </c>
      <c r="O208">
        <v>84824.05</v>
      </c>
      <c r="P208">
        <v>-46950</v>
      </c>
      <c r="Q208" t="str">
        <f>IF(tbl_sales3[[#This Row],[Sale_Price]]&lt;500000,"Budget",
IF(tbl_sales3[[#This Row],[Sale_Price]]&lt;1000000,"Mid-Range",
"Luxury"))</f>
        <v>Luxury</v>
      </c>
      <c r="R208" s="4">
        <f>IFERROR(tbl_sales3[[#This Row],[Sale_Price]]*tbl_sales3[[#This Row],[Commission_Rate]],0)</f>
        <v>84824.05</v>
      </c>
      <c r="S208" t="str">
        <f>IF(ABS(tbl_sales3[[#This Row],[Commission_Earned]]-tbl_sales3[[#This Row],[Calculated_Commission]])&lt;0.02,"Correct","Mismatch")</f>
        <v>Correct</v>
      </c>
      <c r="T208">
        <f>YEAR(tbl_sales3[[#This Row],[Sale_Date]])</f>
        <v>2024</v>
      </c>
      <c r="U208" s="1" t="str">
        <f>TEXT(tbl_sales3[[#This Row],[Sale_Date]],"mmmm")</f>
        <v>December</v>
      </c>
      <c r="V208" s="2">
        <f>EOMONTH(tbl_sales3[[#This Row],[Sale_Date]],0)</f>
        <v>45657</v>
      </c>
      <c r="W208" s="1" t="str">
        <f>IF(AND(tbl_sales3[[#This Row],[Sale_Price]]&gt;1000000,tbl_sales3[[#This Row],[Days_on_Market]]&lt;30),"High Demand","Normal")</f>
        <v>Normal</v>
      </c>
    </row>
    <row r="209" spans="1:23" x14ac:dyDescent="0.3">
      <c r="A209" s="1" t="s">
        <v>247</v>
      </c>
      <c r="B209" s="1" t="s">
        <v>32</v>
      </c>
      <c r="C209" s="1" t="s">
        <v>35</v>
      </c>
      <c r="D209">
        <v>2</v>
      </c>
      <c r="E209">
        <v>2</v>
      </c>
      <c r="F209">
        <v>2001</v>
      </c>
      <c r="G209">
        <v>1568745</v>
      </c>
      <c r="H209">
        <v>1523836</v>
      </c>
      <c r="I209" s="2">
        <v>45578</v>
      </c>
      <c r="J209" s="2">
        <v>45588</v>
      </c>
      <c r="K209">
        <v>10</v>
      </c>
      <c r="L209" s="1" t="s">
        <v>30</v>
      </c>
      <c r="M209" s="1" t="s">
        <v>28</v>
      </c>
      <c r="N209">
        <v>0.04</v>
      </c>
      <c r="O209">
        <v>60953.440000000002</v>
      </c>
      <c r="P209">
        <v>-44909</v>
      </c>
      <c r="Q209" t="str">
        <f>IF(tbl_sales3[[#This Row],[Sale_Price]]&lt;500000,"Budget",
IF(tbl_sales3[[#This Row],[Sale_Price]]&lt;1000000,"Mid-Range",
"Luxury"))</f>
        <v>Luxury</v>
      </c>
      <c r="R209" s="4">
        <f>IFERROR(tbl_sales3[[#This Row],[Sale_Price]]*tbl_sales3[[#This Row],[Commission_Rate]],0)</f>
        <v>60953.440000000002</v>
      </c>
      <c r="S209" t="str">
        <f>IF(ABS(tbl_sales3[[#This Row],[Commission_Earned]]-tbl_sales3[[#This Row],[Calculated_Commission]])&lt;0.02,"Correct","Mismatch")</f>
        <v>Correct</v>
      </c>
      <c r="T209">
        <f>YEAR(tbl_sales3[[#This Row],[Sale_Date]])</f>
        <v>2024</v>
      </c>
      <c r="U209" s="1" t="str">
        <f>TEXT(tbl_sales3[[#This Row],[Sale_Date]],"mmmm")</f>
        <v>October</v>
      </c>
      <c r="V209" s="2">
        <f>EOMONTH(tbl_sales3[[#This Row],[Sale_Date]],0)</f>
        <v>45596</v>
      </c>
      <c r="W209" s="1" t="str">
        <f>IF(AND(tbl_sales3[[#This Row],[Sale_Price]]&gt;1000000,tbl_sales3[[#This Row],[Days_on_Market]]&lt;30),"High Demand","Normal")</f>
        <v>High Demand</v>
      </c>
    </row>
    <row r="210" spans="1:23" x14ac:dyDescent="0.3">
      <c r="A210" s="1" t="s">
        <v>248</v>
      </c>
      <c r="B210" s="1" t="s">
        <v>41</v>
      </c>
      <c r="C210" s="1" t="s">
        <v>33</v>
      </c>
      <c r="D210">
        <v>1</v>
      </c>
      <c r="E210">
        <v>2</v>
      </c>
      <c r="F210">
        <v>994</v>
      </c>
      <c r="G210">
        <v>1082618</v>
      </c>
      <c r="H210">
        <v>1014607</v>
      </c>
      <c r="I210" s="2">
        <v>44990</v>
      </c>
      <c r="J210" s="2">
        <v>45024</v>
      </c>
      <c r="K210">
        <v>34</v>
      </c>
      <c r="L210" s="1" t="s">
        <v>30</v>
      </c>
      <c r="M210" s="1" t="s">
        <v>24</v>
      </c>
      <c r="N210">
        <v>0.04</v>
      </c>
      <c r="O210">
        <v>40584.28</v>
      </c>
      <c r="P210">
        <v>-68011</v>
      </c>
      <c r="Q210" t="str">
        <f>IF(tbl_sales3[[#This Row],[Sale_Price]]&lt;500000,"Budget",
IF(tbl_sales3[[#This Row],[Sale_Price]]&lt;1000000,"Mid-Range",
"Luxury"))</f>
        <v>Luxury</v>
      </c>
      <c r="R210" s="4">
        <f>IFERROR(tbl_sales3[[#This Row],[Sale_Price]]*tbl_sales3[[#This Row],[Commission_Rate]],0)</f>
        <v>40584.28</v>
      </c>
      <c r="S210" t="str">
        <f>IF(ABS(tbl_sales3[[#This Row],[Commission_Earned]]-tbl_sales3[[#This Row],[Calculated_Commission]])&lt;0.02,"Correct","Mismatch")</f>
        <v>Correct</v>
      </c>
      <c r="T210">
        <f>YEAR(tbl_sales3[[#This Row],[Sale_Date]])</f>
        <v>2023</v>
      </c>
      <c r="U210" s="1" t="str">
        <f>TEXT(tbl_sales3[[#This Row],[Sale_Date]],"mmmm")</f>
        <v>April</v>
      </c>
      <c r="V210" s="2">
        <f>EOMONTH(tbl_sales3[[#This Row],[Sale_Date]],0)</f>
        <v>45046</v>
      </c>
      <c r="W210" s="1" t="str">
        <f>IF(AND(tbl_sales3[[#This Row],[Sale_Price]]&gt;1000000,tbl_sales3[[#This Row],[Days_on_Market]]&lt;30),"High Demand","Normal")</f>
        <v>Normal</v>
      </c>
    </row>
    <row r="211" spans="1:23" x14ac:dyDescent="0.3">
      <c r="A211" s="1" t="s">
        <v>249</v>
      </c>
      <c r="B211" s="1" t="s">
        <v>22</v>
      </c>
      <c r="C211" s="1" t="s">
        <v>23</v>
      </c>
      <c r="D211">
        <v>1</v>
      </c>
      <c r="E211">
        <v>4</v>
      </c>
      <c r="F211">
        <v>1178</v>
      </c>
      <c r="G211">
        <v>1045326</v>
      </c>
      <c r="H211">
        <v>990334</v>
      </c>
      <c r="I211" s="2">
        <v>45261</v>
      </c>
      <c r="J211" s="2">
        <v>45298</v>
      </c>
      <c r="K211">
        <v>37</v>
      </c>
      <c r="L211" s="1" t="s">
        <v>30</v>
      </c>
      <c r="M211" s="1" t="s">
        <v>20</v>
      </c>
      <c r="N211">
        <v>0.05</v>
      </c>
      <c r="O211">
        <v>49516.7</v>
      </c>
      <c r="P211">
        <v>-54992</v>
      </c>
      <c r="Q211" t="str">
        <f>IF(tbl_sales3[[#This Row],[Sale_Price]]&lt;500000,"Budget",
IF(tbl_sales3[[#This Row],[Sale_Price]]&lt;1000000,"Mid-Range",
"Luxury"))</f>
        <v>Mid-Range</v>
      </c>
      <c r="R211" s="4">
        <f>IFERROR(tbl_sales3[[#This Row],[Sale_Price]]*tbl_sales3[[#This Row],[Commission_Rate]],0)</f>
        <v>49516.700000000004</v>
      </c>
      <c r="S211" t="str">
        <f>IF(ABS(tbl_sales3[[#This Row],[Commission_Earned]]-tbl_sales3[[#This Row],[Calculated_Commission]])&lt;0.02,"Correct","Mismatch")</f>
        <v>Correct</v>
      </c>
      <c r="T211">
        <f>YEAR(tbl_sales3[[#This Row],[Sale_Date]])</f>
        <v>2024</v>
      </c>
      <c r="U211" s="1" t="str">
        <f>TEXT(tbl_sales3[[#This Row],[Sale_Date]],"mmmm")</f>
        <v>January</v>
      </c>
      <c r="V211" s="2">
        <f>EOMONTH(tbl_sales3[[#This Row],[Sale_Date]],0)</f>
        <v>45322</v>
      </c>
      <c r="W211" s="1" t="str">
        <f>IF(AND(tbl_sales3[[#This Row],[Sale_Price]]&gt;1000000,tbl_sales3[[#This Row],[Days_on_Market]]&lt;30),"High Demand","Normal")</f>
        <v>Normal</v>
      </c>
    </row>
    <row r="212" spans="1:23" x14ac:dyDescent="0.3">
      <c r="A212" s="1" t="s">
        <v>250</v>
      </c>
      <c r="B212" s="1" t="s">
        <v>32</v>
      </c>
      <c r="C212" s="1" t="s">
        <v>35</v>
      </c>
      <c r="D212">
        <v>5</v>
      </c>
      <c r="E212">
        <v>1</v>
      </c>
      <c r="F212">
        <v>3440</v>
      </c>
      <c r="G212">
        <v>1510840</v>
      </c>
      <c r="H212">
        <v>1445058</v>
      </c>
      <c r="I212" s="2">
        <v>45599</v>
      </c>
      <c r="J212" s="2">
        <v>45679</v>
      </c>
      <c r="K212">
        <v>80</v>
      </c>
      <c r="L212" s="1" t="s">
        <v>44</v>
      </c>
      <c r="M212" s="1" t="s">
        <v>24</v>
      </c>
      <c r="N212">
        <v>4.4999999999999998E-2</v>
      </c>
      <c r="O212">
        <v>65027.61</v>
      </c>
      <c r="P212">
        <v>-65782</v>
      </c>
      <c r="Q212" t="str">
        <f>IF(tbl_sales3[[#This Row],[Sale_Price]]&lt;500000,"Budget",
IF(tbl_sales3[[#This Row],[Sale_Price]]&lt;1000000,"Mid-Range",
"Luxury"))</f>
        <v>Luxury</v>
      </c>
      <c r="R212" s="4">
        <f>IFERROR(tbl_sales3[[#This Row],[Sale_Price]]*tbl_sales3[[#This Row],[Commission_Rate]],0)</f>
        <v>65027.61</v>
      </c>
      <c r="S212" t="str">
        <f>IF(ABS(tbl_sales3[[#This Row],[Commission_Earned]]-tbl_sales3[[#This Row],[Calculated_Commission]])&lt;0.02,"Correct","Mismatch")</f>
        <v>Correct</v>
      </c>
      <c r="T212">
        <f>YEAR(tbl_sales3[[#This Row],[Sale_Date]])</f>
        <v>2025</v>
      </c>
      <c r="U212" s="1" t="str">
        <f>TEXT(tbl_sales3[[#This Row],[Sale_Date]],"mmmm")</f>
        <v>January</v>
      </c>
      <c r="V212" s="2">
        <f>EOMONTH(tbl_sales3[[#This Row],[Sale_Date]],0)</f>
        <v>45688</v>
      </c>
      <c r="W212" s="1" t="str">
        <f>IF(AND(tbl_sales3[[#This Row],[Sale_Price]]&gt;1000000,tbl_sales3[[#This Row],[Days_on_Market]]&lt;30),"High Demand","Normal")</f>
        <v>Normal</v>
      </c>
    </row>
    <row r="213" spans="1:23" x14ac:dyDescent="0.3">
      <c r="A213" s="1" t="s">
        <v>251</v>
      </c>
      <c r="B213" s="1" t="s">
        <v>37</v>
      </c>
      <c r="C213" s="1" t="s">
        <v>33</v>
      </c>
      <c r="D213">
        <v>1</v>
      </c>
      <c r="E213">
        <v>4</v>
      </c>
      <c r="F213">
        <v>1660</v>
      </c>
      <c r="G213">
        <v>1238259</v>
      </c>
      <c r="H213">
        <v>1174449</v>
      </c>
      <c r="I213" s="2">
        <v>45025</v>
      </c>
      <c r="J213" s="2">
        <v>45078</v>
      </c>
      <c r="K213">
        <v>53</v>
      </c>
      <c r="L213" s="1" t="s">
        <v>19</v>
      </c>
      <c r="M213" s="1" t="s">
        <v>20</v>
      </c>
      <c r="N213">
        <v>0.05</v>
      </c>
      <c r="O213">
        <v>58722.45</v>
      </c>
      <c r="P213">
        <v>-63810</v>
      </c>
      <c r="Q213" t="str">
        <f>IF(tbl_sales3[[#This Row],[Sale_Price]]&lt;500000,"Budget",
IF(tbl_sales3[[#This Row],[Sale_Price]]&lt;1000000,"Mid-Range",
"Luxury"))</f>
        <v>Luxury</v>
      </c>
      <c r="R213" s="4">
        <f>IFERROR(tbl_sales3[[#This Row],[Sale_Price]]*tbl_sales3[[#This Row],[Commission_Rate]],0)</f>
        <v>58722.450000000004</v>
      </c>
      <c r="S213" t="str">
        <f>IF(ABS(tbl_sales3[[#This Row],[Commission_Earned]]-tbl_sales3[[#This Row],[Calculated_Commission]])&lt;0.02,"Correct","Mismatch")</f>
        <v>Correct</v>
      </c>
      <c r="T213">
        <f>YEAR(tbl_sales3[[#This Row],[Sale_Date]])</f>
        <v>2023</v>
      </c>
      <c r="U213" s="1" t="str">
        <f>TEXT(tbl_sales3[[#This Row],[Sale_Date]],"mmmm")</f>
        <v>June</v>
      </c>
      <c r="V213" s="2">
        <f>EOMONTH(tbl_sales3[[#This Row],[Sale_Date]],0)</f>
        <v>45107</v>
      </c>
      <c r="W213" s="1" t="str">
        <f>IF(AND(tbl_sales3[[#This Row],[Sale_Price]]&gt;1000000,tbl_sales3[[#This Row],[Days_on_Market]]&lt;30),"High Demand","Normal")</f>
        <v>Normal</v>
      </c>
    </row>
    <row r="214" spans="1:23" x14ac:dyDescent="0.3">
      <c r="A214" s="1" t="s">
        <v>252</v>
      </c>
      <c r="B214" s="1" t="s">
        <v>37</v>
      </c>
      <c r="C214" s="1" t="s">
        <v>35</v>
      </c>
      <c r="D214">
        <v>5</v>
      </c>
      <c r="E214">
        <v>4</v>
      </c>
      <c r="F214">
        <v>617</v>
      </c>
      <c r="G214">
        <v>1153531</v>
      </c>
      <c r="H214">
        <v>1122862</v>
      </c>
      <c r="I214" s="2">
        <v>45554</v>
      </c>
      <c r="J214" s="2">
        <v>45627</v>
      </c>
      <c r="K214">
        <v>73</v>
      </c>
      <c r="L214" s="1" t="s">
        <v>27</v>
      </c>
      <c r="M214" s="1" t="s">
        <v>28</v>
      </c>
      <c r="N214">
        <v>0.04</v>
      </c>
      <c r="O214">
        <v>44914.48</v>
      </c>
      <c r="P214">
        <v>-30669</v>
      </c>
      <c r="Q214" t="str">
        <f>IF(tbl_sales3[[#This Row],[Sale_Price]]&lt;500000,"Budget",
IF(tbl_sales3[[#This Row],[Sale_Price]]&lt;1000000,"Mid-Range",
"Luxury"))</f>
        <v>Luxury</v>
      </c>
      <c r="R214" s="4">
        <f>IFERROR(tbl_sales3[[#This Row],[Sale_Price]]*tbl_sales3[[#This Row],[Commission_Rate]],0)</f>
        <v>44914.48</v>
      </c>
      <c r="S214" t="str">
        <f>IF(ABS(tbl_sales3[[#This Row],[Commission_Earned]]-tbl_sales3[[#This Row],[Calculated_Commission]])&lt;0.02,"Correct","Mismatch")</f>
        <v>Correct</v>
      </c>
      <c r="T214">
        <f>YEAR(tbl_sales3[[#This Row],[Sale_Date]])</f>
        <v>2024</v>
      </c>
      <c r="U214" s="1" t="str">
        <f>TEXT(tbl_sales3[[#This Row],[Sale_Date]],"mmmm")</f>
        <v>December</v>
      </c>
      <c r="V214" s="2">
        <f>EOMONTH(tbl_sales3[[#This Row],[Sale_Date]],0)</f>
        <v>45657</v>
      </c>
      <c r="W214" s="1" t="str">
        <f>IF(AND(tbl_sales3[[#This Row],[Sale_Price]]&gt;1000000,tbl_sales3[[#This Row],[Days_on_Market]]&lt;30),"High Demand","Normal")</f>
        <v>Normal</v>
      </c>
    </row>
    <row r="215" spans="1:23" x14ac:dyDescent="0.3">
      <c r="A215" s="1" t="s">
        <v>253</v>
      </c>
      <c r="B215" s="1" t="s">
        <v>32</v>
      </c>
      <c r="C215" s="1" t="s">
        <v>18</v>
      </c>
      <c r="D215">
        <v>5</v>
      </c>
      <c r="E215">
        <v>3</v>
      </c>
      <c r="F215">
        <v>2847</v>
      </c>
      <c r="G215">
        <v>1035454</v>
      </c>
      <c r="H215">
        <v>960268</v>
      </c>
      <c r="I215" s="2">
        <v>45285</v>
      </c>
      <c r="J215" s="2">
        <v>45299</v>
      </c>
      <c r="K215">
        <v>14</v>
      </c>
      <c r="L215" s="1" t="s">
        <v>51</v>
      </c>
      <c r="M215" s="1" t="s">
        <v>20</v>
      </c>
      <c r="N215">
        <v>0.04</v>
      </c>
      <c r="O215">
        <v>38410.720000000001</v>
      </c>
      <c r="P215">
        <v>-75186</v>
      </c>
      <c r="Q215" t="str">
        <f>IF(tbl_sales3[[#This Row],[Sale_Price]]&lt;500000,"Budget",
IF(tbl_sales3[[#This Row],[Sale_Price]]&lt;1000000,"Mid-Range",
"Luxury"))</f>
        <v>Mid-Range</v>
      </c>
      <c r="R215" s="4">
        <f>IFERROR(tbl_sales3[[#This Row],[Sale_Price]]*tbl_sales3[[#This Row],[Commission_Rate]],0)</f>
        <v>38410.720000000001</v>
      </c>
      <c r="S215" t="str">
        <f>IF(ABS(tbl_sales3[[#This Row],[Commission_Earned]]-tbl_sales3[[#This Row],[Calculated_Commission]])&lt;0.02,"Correct","Mismatch")</f>
        <v>Correct</v>
      </c>
      <c r="T215">
        <f>YEAR(tbl_sales3[[#This Row],[Sale_Date]])</f>
        <v>2024</v>
      </c>
      <c r="U215" s="1" t="str">
        <f>TEXT(tbl_sales3[[#This Row],[Sale_Date]],"mmmm")</f>
        <v>January</v>
      </c>
      <c r="V215" s="2">
        <f>EOMONTH(tbl_sales3[[#This Row],[Sale_Date]],0)</f>
        <v>45322</v>
      </c>
      <c r="W215" s="1" t="str">
        <f>IF(AND(tbl_sales3[[#This Row],[Sale_Price]]&gt;1000000,tbl_sales3[[#This Row],[Days_on_Market]]&lt;30),"High Demand","Normal")</f>
        <v>Normal</v>
      </c>
    </row>
    <row r="216" spans="1:23" x14ac:dyDescent="0.3">
      <c r="A216" s="1" t="s">
        <v>254</v>
      </c>
      <c r="B216" s="1" t="s">
        <v>22</v>
      </c>
      <c r="C216" s="1" t="s">
        <v>23</v>
      </c>
      <c r="D216">
        <v>1</v>
      </c>
      <c r="E216">
        <v>1</v>
      </c>
      <c r="F216">
        <v>1939</v>
      </c>
      <c r="G216">
        <v>691894</v>
      </c>
      <c r="H216">
        <v>635610</v>
      </c>
      <c r="I216" s="2">
        <v>45020</v>
      </c>
      <c r="J216" s="2">
        <v>45107</v>
      </c>
      <c r="K216">
        <v>87</v>
      </c>
      <c r="L216" s="1" t="s">
        <v>39</v>
      </c>
      <c r="M216" s="1" t="s">
        <v>24</v>
      </c>
      <c r="N216">
        <v>0.04</v>
      </c>
      <c r="O216">
        <v>25424.400000000001</v>
      </c>
      <c r="P216">
        <v>-56284</v>
      </c>
      <c r="Q216" t="str">
        <f>IF(tbl_sales3[[#This Row],[Sale_Price]]&lt;500000,"Budget",
IF(tbl_sales3[[#This Row],[Sale_Price]]&lt;1000000,"Mid-Range",
"Luxury"))</f>
        <v>Mid-Range</v>
      </c>
      <c r="R216" s="4">
        <f>IFERROR(tbl_sales3[[#This Row],[Sale_Price]]*tbl_sales3[[#This Row],[Commission_Rate]],0)</f>
        <v>25424.400000000001</v>
      </c>
      <c r="S216" t="str">
        <f>IF(ABS(tbl_sales3[[#This Row],[Commission_Earned]]-tbl_sales3[[#This Row],[Calculated_Commission]])&lt;0.02,"Correct","Mismatch")</f>
        <v>Correct</v>
      </c>
      <c r="T216">
        <f>YEAR(tbl_sales3[[#This Row],[Sale_Date]])</f>
        <v>2023</v>
      </c>
      <c r="U216" s="1" t="str">
        <f>TEXT(tbl_sales3[[#This Row],[Sale_Date]],"mmmm")</f>
        <v>June</v>
      </c>
      <c r="V216" s="2">
        <f>EOMONTH(tbl_sales3[[#This Row],[Sale_Date]],0)</f>
        <v>45107</v>
      </c>
      <c r="W216" s="1" t="str">
        <f>IF(AND(tbl_sales3[[#This Row],[Sale_Price]]&gt;1000000,tbl_sales3[[#This Row],[Days_on_Market]]&lt;30),"High Demand","Normal")</f>
        <v>Normal</v>
      </c>
    </row>
    <row r="217" spans="1:23" x14ac:dyDescent="0.3">
      <c r="A217" s="1" t="s">
        <v>255</v>
      </c>
      <c r="B217" s="1" t="s">
        <v>32</v>
      </c>
      <c r="C217" s="1" t="s">
        <v>23</v>
      </c>
      <c r="D217">
        <v>3</v>
      </c>
      <c r="E217">
        <v>2</v>
      </c>
      <c r="F217">
        <v>706</v>
      </c>
      <c r="G217">
        <v>854234</v>
      </c>
      <c r="H217">
        <v>804433</v>
      </c>
      <c r="I217" s="2">
        <v>45046</v>
      </c>
      <c r="J217" s="2">
        <v>45060</v>
      </c>
      <c r="K217">
        <v>14</v>
      </c>
      <c r="L217" s="1" t="s">
        <v>53</v>
      </c>
      <c r="M217" s="1" t="s">
        <v>28</v>
      </c>
      <c r="N217">
        <v>0.04</v>
      </c>
      <c r="O217">
        <v>32177.32</v>
      </c>
      <c r="P217">
        <v>-49801</v>
      </c>
      <c r="Q217" t="str">
        <f>IF(tbl_sales3[[#This Row],[Sale_Price]]&lt;500000,"Budget",
IF(tbl_sales3[[#This Row],[Sale_Price]]&lt;1000000,"Mid-Range",
"Luxury"))</f>
        <v>Mid-Range</v>
      </c>
      <c r="R217" s="4">
        <f>IFERROR(tbl_sales3[[#This Row],[Sale_Price]]*tbl_sales3[[#This Row],[Commission_Rate]],0)</f>
        <v>32177.32</v>
      </c>
      <c r="S217" t="str">
        <f>IF(ABS(tbl_sales3[[#This Row],[Commission_Earned]]-tbl_sales3[[#This Row],[Calculated_Commission]])&lt;0.02,"Correct","Mismatch")</f>
        <v>Correct</v>
      </c>
      <c r="T217">
        <f>YEAR(tbl_sales3[[#This Row],[Sale_Date]])</f>
        <v>2023</v>
      </c>
      <c r="U217" s="1" t="str">
        <f>TEXT(tbl_sales3[[#This Row],[Sale_Date]],"mmmm")</f>
        <v>May</v>
      </c>
      <c r="V217" s="2">
        <f>EOMONTH(tbl_sales3[[#This Row],[Sale_Date]],0)</f>
        <v>45077</v>
      </c>
      <c r="W217" s="1" t="str">
        <f>IF(AND(tbl_sales3[[#This Row],[Sale_Price]]&gt;1000000,tbl_sales3[[#This Row],[Days_on_Market]]&lt;30),"High Demand","Normal")</f>
        <v>Normal</v>
      </c>
    </row>
    <row r="218" spans="1:23" x14ac:dyDescent="0.3">
      <c r="A218" s="1" t="s">
        <v>256</v>
      </c>
      <c r="B218" s="1" t="s">
        <v>37</v>
      </c>
      <c r="C218" s="1" t="s">
        <v>18</v>
      </c>
      <c r="D218">
        <v>2</v>
      </c>
      <c r="E218">
        <v>4</v>
      </c>
      <c r="F218">
        <v>3297</v>
      </c>
      <c r="G218">
        <v>607232</v>
      </c>
      <c r="H218">
        <v>528803</v>
      </c>
      <c r="I218" s="2">
        <v>45236</v>
      </c>
      <c r="J218" s="2">
        <v>45243</v>
      </c>
      <c r="K218">
        <v>7</v>
      </c>
      <c r="L218" s="1" t="s">
        <v>53</v>
      </c>
      <c r="M218" s="1" t="s">
        <v>28</v>
      </c>
      <c r="N218">
        <v>0.04</v>
      </c>
      <c r="O218">
        <v>21152.12</v>
      </c>
      <c r="P218">
        <v>-78429</v>
      </c>
      <c r="Q218" t="str">
        <f>IF(tbl_sales3[[#This Row],[Sale_Price]]&lt;500000,"Budget",
IF(tbl_sales3[[#This Row],[Sale_Price]]&lt;1000000,"Mid-Range",
"Luxury"))</f>
        <v>Mid-Range</v>
      </c>
      <c r="R218" s="4">
        <f>IFERROR(tbl_sales3[[#This Row],[Sale_Price]]*tbl_sales3[[#This Row],[Commission_Rate]],0)</f>
        <v>21152.12</v>
      </c>
      <c r="S218" t="str">
        <f>IF(ABS(tbl_sales3[[#This Row],[Commission_Earned]]-tbl_sales3[[#This Row],[Calculated_Commission]])&lt;0.02,"Correct","Mismatch")</f>
        <v>Correct</v>
      </c>
      <c r="T218">
        <f>YEAR(tbl_sales3[[#This Row],[Sale_Date]])</f>
        <v>2023</v>
      </c>
      <c r="U218" s="1" t="str">
        <f>TEXT(tbl_sales3[[#This Row],[Sale_Date]],"mmmm")</f>
        <v>November</v>
      </c>
      <c r="V218" s="2">
        <f>EOMONTH(tbl_sales3[[#This Row],[Sale_Date]],0)</f>
        <v>45260</v>
      </c>
      <c r="W218" s="1" t="str">
        <f>IF(AND(tbl_sales3[[#This Row],[Sale_Price]]&gt;1000000,tbl_sales3[[#This Row],[Days_on_Market]]&lt;30),"High Demand","Normal")</f>
        <v>Normal</v>
      </c>
    </row>
    <row r="219" spans="1:23" x14ac:dyDescent="0.3">
      <c r="A219" s="1" t="s">
        <v>257</v>
      </c>
      <c r="B219" s="1" t="s">
        <v>59</v>
      </c>
      <c r="C219" s="1" t="s">
        <v>18</v>
      </c>
      <c r="D219">
        <v>3</v>
      </c>
      <c r="E219">
        <v>4</v>
      </c>
      <c r="F219">
        <v>1193</v>
      </c>
      <c r="G219">
        <v>1614219</v>
      </c>
      <c r="H219">
        <v>1567904</v>
      </c>
      <c r="I219" s="2">
        <v>44961</v>
      </c>
      <c r="J219" s="2">
        <v>45012</v>
      </c>
      <c r="K219">
        <v>51</v>
      </c>
      <c r="L219" s="1" t="s">
        <v>53</v>
      </c>
      <c r="M219" s="1" t="s">
        <v>20</v>
      </c>
      <c r="N219">
        <v>4.4999999999999998E-2</v>
      </c>
      <c r="O219">
        <v>70555.679999999993</v>
      </c>
      <c r="P219">
        <v>-46315</v>
      </c>
      <c r="Q219" t="str">
        <f>IF(tbl_sales3[[#This Row],[Sale_Price]]&lt;500000,"Budget",
IF(tbl_sales3[[#This Row],[Sale_Price]]&lt;1000000,"Mid-Range",
"Luxury"))</f>
        <v>Luxury</v>
      </c>
      <c r="R219" s="4">
        <f>IFERROR(tbl_sales3[[#This Row],[Sale_Price]]*tbl_sales3[[#This Row],[Commission_Rate]],0)</f>
        <v>70555.679999999993</v>
      </c>
      <c r="S219" t="str">
        <f>IF(ABS(tbl_sales3[[#This Row],[Commission_Earned]]-tbl_sales3[[#This Row],[Calculated_Commission]])&lt;0.02,"Correct","Mismatch")</f>
        <v>Correct</v>
      </c>
      <c r="T219">
        <f>YEAR(tbl_sales3[[#This Row],[Sale_Date]])</f>
        <v>2023</v>
      </c>
      <c r="U219" s="1" t="str">
        <f>TEXT(tbl_sales3[[#This Row],[Sale_Date]],"mmmm")</f>
        <v>March</v>
      </c>
      <c r="V219" s="2">
        <f>EOMONTH(tbl_sales3[[#This Row],[Sale_Date]],0)</f>
        <v>45016</v>
      </c>
      <c r="W219" s="1" t="str">
        <f>IF(AND(tbl_sales3[[#This Row],[Sale_Price]]&gt;1000000,tbl_sales3[[#This Row],[Days_on_Market]]&lt;30),"High Demand","Normal")</f>
        <v>Normal</v>
      </c>
    </row>
    <row r="220" spans="1:23" x14ac:dyDescent="0.3">
      <c r="A220" s="1" t="s">
        <v>258</v>
      </c>
      <c r="B220" s="1" t="s">
        <v>41</v>
      </c>
      <c r="C220" s="1" t="s">
        <v>18</v>
      </c>
      <c r="D220">
        <v>5</v>
      </c>
      <c r="E220">
        <v>2</v>
      </c>
      <c r="F220">
        <v>2226</v>
      </c>
      <c r="G220">
        <v>1534022</v>
      </c>
      <c r="H220">
        <v>1528207</v>
      </c>
      <c r="I220" s="2">
        <v>45594</v>
      </c>
      <c r="J220" s="2">
        <v>45599</v>
      </c>
      <c r="K220">
        <v>5</v>
      </c>
      <c r="L220" s="1" t="s">
        <v>53</v>
      </c>
      <c r="M220" s="1" t="s">
        <v>20</v>
      </c>
      <c r="N220">
        <v>0.04</v>
      </c>
      <c r="O220">
        <v>61128.28</v>
      </c>
      <c r="P220">
        <v>-5815</v>
      </c>
      <c r="Q220" t="str">
        <f>IF(tbl_sales3[[#This Row],[Sale_Price]]&lt;500000,"Budget",
IF(tbl_sales3[[#This Row],[Sale_Price]]&lt;1000000,"Mid-Range",
"Luxury"))</f>
        <v>Luxury</v>
      </c>
      <c r="R220" s="4">
        <f>IFERROR(tbl_sales3[[#This Row],[Sale_Price]]*tbl_sales3[[#This Row],[Commission_Rate]],0)</f>
        <v>61128.28</v>
      </c>
      <c r="S220" t="str">
        <f>IF(ABS(tbl_sales3[[#This Row],[Commission_Earned]]-tbl_sales3[[#This Row],[Calculated_Commission]])&lt;0.02,"Correct","Mismatch")</f>
        <v>Correct</v>
      </c>
      <c r="T220">
        <f>YEAR(tbl_sales3[[#This Row],[Sale_Date]])</f>
        <v>2024</v>
      </c>
      <c r="U220" s="1" t="str">
        <f>TEXT(tbl_sales3[[#This Row],[Sale_Date]],"mmmm")</f>
        <v>November</v>
      </c>
      <c r="V220" s="2">
        <f>EOMONTH(tbl_sales3[[#This Row],[Sale_Date]],0)</f>
        <v>45626</v>
      </c>
      <c r="W220" s="1" t="str">
        <f>IF(AND(tbl_sales3[[#This Row],[Sale_Price]]&gt;1000000,tbl_sales3[[#This Row],[Days_on_Market]]&lt;30),"High Demand","Normal")</f>
        <v>High Demand</v>
      </c>
    </row>
    <row r="221" spans="1:23" x14ac:dyDescent="0.3">
      <c r="A221" s="1" t="s">
        <v>259</v>
      </c>
      <c r="B221" s="1" t="s">
        <v>59</v>
      </c>
      <c r="C221" s="1" t="s">
        <v>35</v>
      </c>
      <c r="D221">
        <v>1</v>
      </c>
      <c r="E221">
        <v>4</v>
      </c>
      <c r="F221">
        <v>578</v>
      </c>
      <c r="G221">
        <v>925567</v>
      </c>
      <c r="H221">
        <v>866261</v>
      </c>
      <c r="I221" s="2">
        <v>45599</v>
      </c>
      <c r="J221" s="2">
        <v>45663</v>
      </c>
      <c r="K221">
        <v>64</v>
      </c>
      <c r="L221" s="1" t="s">
        <v>42</v>
      </c>
      <c r="M221" s="1" t="s">
        <v>20</v>
      </c>
      <c r="N221">
        <v>4.4999999999999998E-2</v>
      </c>
      <c r="O221">
        <v>38981.74</v>
      </c>
      <c r="P221">
        <v>-59306</v>
      </c>
      <c r="Q221" t="str">
        <f>IF(tbl_sales3[[#This Row],[Sale_Price]]&lt;500000,"Budget",
IF(tbl_sales3[[#This Row],[Sale_Price]]&lt;1000000,"Mid-Range",
"Luxury"))</f>
        <v>Mid-Range</v>
      </c>
      <c r="R221" s="4">
        <f>IFERROR(tbl_sales3[[#This Row],[Sale_Price]]*tbl_sales3[[#This Row],[Commission_Rate]],0)</f>
        <v>38981.744999999995</v>
      </c>
      <c r="S221" t="str">
        <f>IF(ABS(tbl_sales3[[#This Row],[Commission_Earned]]-tbl_sales3[[#This Row],[Calculated_Commission]])&lt;0.02,"Correct","Mismatch")</f>
        <v>Correct</v>
      </c>
      <c r="T221">
        <f>YEAR(tbl_sales3[[#This Row],[Sale_Date]])</f>
        <v>2025</v>
      </c>
      <c r="U221" s="1" t="str">
        <f>TEXT(tbl_sales3[[#This Row],[Sale_Date]],"mmmm")</f>
        <v>January</v>
      </c>
      <c r="V221" s="2">
        <f>EOMONTH(tbl_sales3[[#This Row],[Sale_Date]],0)</f>
        <v>45688</v>
      </c>
      <c r="W221" s="1" t="str">
        <f>IF(AND(tbl_sales3[[#This Row],[Sale_Price]]&gt;1000000,tbl_sales3[[#This Row],[Days_on_Market]]&lt;30),"High Demand","Normal")</f>
        <v>Normal</v>
      </c>
    </row>
    <row r="222" spans="1:23" x14ac:dyDescent="0.3">
      <c r="A222" s="1" t="s">
        <v>260</v>
      </c>
      <c r="B222" s="1" t="s">
        <v>17</v>
      </c>
      <c r="C222" s="1" t="s">
        <v>38</v>
      </c>
      <c r="D222">
        <v>5</v>
      </c>
      <c r="E222">
        <v>3</v>
      </c>
      <c r="F222">
        <v>3303</v>
      </c>
      <c r="G222">
        <v>1131883</v>
      </c>
      <c r="H222">
        <v>1121418</v>
      </c>
      <c r="I222" s="2">
        <v>45080</v>
      </c>
      <c r="J222" s="2">
        <v>45087</v>
      </c>
      <c r="K222">
        <v>7</v>
      </c>
      <c r="L222" s="1" t="s">
        <v>19</v>
      </c>
      <c r="M222" s="1" t="s">
        <v>24</v>
      </c>
      <c r="N222">
        <v>0.04</v>
      </c>
      <c r="O222">
        <v>44856.72</v>
      </c>
      <c r="P222">
        <v>-10465</v>
      </c>
      <c r="Q222" t="str">
        <f>IF(tbl_sales3[[#This Row],[Sale_Price]]&lt;500000,"Budget",
IF(tbl_sales3[[#This Row],[Sale_Price]]&lt;1000000,"Mid-Range",
"Luxury"))</f>
        <v>Luxury</v>
      </c>
      <c r="R222" s="4">
        <f>IFERROR(tbl_sales3[[#This Row],[Sale_Price]]*tbl_sales3[[#This Row],[Commission_Rate]],0)</f>
        <v>44856.72</v>
      </c>
      <c r="S222" t="str">
        <f>IF(ABS(tbl_sales3[[#This Row],[Commission_Earned]]-tbl_sales3[[#This Row],[Calculated_Commission]])&lt;0.02,"Correct","Mismatch")</f>
        <v>Correct</v>
      </c>
      <c r="T222">
        <f>YEAR(tbl_sales3[[#This Row],[Sale_Date]])</f>
        <v>2023</v>
      </c>
      <c r="U222" s="1" t="str">
        <f>TEXT(tbl_sales3[[#This Row],[Sale_Date]],"mmmm")</f>
        <v>June</v>
      </c>
      <c r="V222" s="2">
        <f>EOMONTH(tbl_sales3[[#This Row],[Sale_Date]],0)</f>
        <v>45107</v>
      </c>
      <c r="W222" s="1" t="str">
        <f>IF(AND(tbl_sales3[[#This Row],[Sale_Price]]&gt;1000000,tbl_sales3[[#This Row],[Days_on_Market]]&lt;30),"High Demand","Normal")</f>
        <v>High Demand</v>
      </c>
    </row>
    <row r="223" spans="1:23" x14ac:dyDescent="0.3">
      <c r="A223" s="1" t="s">
        <v>261</v>
      </c>
      <c r="B223" s="1" t="s">
        <v>59</v>
      </c>
      <c r="C223" s="1" t="s">
        <v>23</v>
      </c>
      <c r="D223">
        <v>3</v>
      </c>
      <c r="E223">
        <v>4</v>
      </c>
      <c r="F223">
        <v>2238</v>
      </c>
      <c r="G223">
        <v>798529</v>
      </c>
      <c r="H223">
        <v>734466</v>
      </c>
      <c r="I223" s="2">
        <v>45469</v>
      </c>
      <c r="J223" s="2">
        <v>45540</v>
      </c>
      <c r="K223">
        <v>71</v>
      </c>
      <c r="L223" s="1" t="s">
        <v>39</v>
      </c>
      <c r="M223" s="1" t="s">
        <v>24</v>
      </c>
      <c r="N223">
        <v>4.4999999999999998E-2</v>
      </c>
      <c r="O223">
        <v>33050.97</v>
      </c>
      <c r="P223">
        <v>-64063</v>
      </c>
      <c r="Q223" t="str">
        <f>IF(tbl_sales3[[#This Row],[Sale_Price]]&lt;500000,"Budget",
IF(tbl_sales3[[#This Row],[Sale_Price]]&lt;1000000,"Mid-Range",
"Luxury"))</f>
        <v>Mid-Range</v>
      </c>
      <c r="R223" s="4">
        <f>IFERROR(tbl_sales3[[#This Row],[Sale_Price]]*tbl_sales3[[#This Row],[Commission_Rate]],0)</f>
        <v>33050.97</v>
      </c>
      <c r="S223" t="str">
        <f>IF(ABS(tbl_sales3[[#This Row],[Commission_Earned]]-tbl_sales3[[#This Row],[Calculated_Commission]])&lt;0.02,"Correct","Mismatch")</f>
        <v>Correct</v>
      </c>
      <c r="T223">
        <f>YEAR(tbl_sales3[[#This Row],[Sale_Date]])</f>
        <v>2024</v>
      </c>
      <c r="U223" s="1" t="str">
        <f>TEXT(tbl_sales3[[#This Row],[Sale_Date]],"mmmm")</f>
        <v>September</v>
      </c>
      <c r="V223" s="2">
        <f>EOMONTH(tbl_sales3[[#This Row],[Sale_Date]],0)</f>
        <v>45565</v>
      </c>
      <c r="W223" s="1" t="str">
        <f>IF(AND(tbl_sales3[[#This Row],[Sale_Price]]&gt;1000000,tbl_sales3[[#This Row],[Days_on_Market]]&lt;30),"High Demand","Normal")</f>
        <v>Normal</v>
      </c>
    </row>
    <row r="224" spans="1:23" x14ac:dyDescent="0.3">
      <c r="A224" s="1" t="s">
        <v>262</v>
      </c>
      <c r="B224" s="1" t="s">
        <v>41</v>
      </c>
      <c r="C224" s="1" t="s">
        <v>38</v>
      </c>
      <c r="D224">
        <v>4</v>
      </c>
      <c r="E224">
        <v>4</v>
      </c>
      <c r="F224">
        <v>2612</v>
      </c>
      <c r="G224">
        <v>727983</v>
      </c>
      <c r="H224">
        <v>717201</v>
      </c>
      <c r="I224" s="2">
        <v>45232</v>
      </c>
      <c r="J224" s="2">
        <v>45310</v>
      </c>
      <c r="K224">
        <v>78</v>
      </c>
      <c r="L224" s="1" t="s">
        <v>42</v>
      </c>
      <c r="M224" s="1" t="s">
        <v>20</v>
      </c>
      <c r="N224">
        <v>4.4999999999999998E-2</v>
      </c>
      <c r="O224">
        <v>32274.04</v>
      </c>
      <c r="P224">
        <v>-10782</v>
      </c>
      <c r="Q224" t="str">
        <f>IF(tbl_sales3[[#This Row],[Sale_Price]]&lt;500000,"Budget",
IF(tbl_sales3[[#This Row],[Sale_Price]]&lt;1000000,"Mid-Range",
"Luxury"))</f>
        <v>Mid-Range</v>
      </c>
      <c r="R224" s="4">
        <f>IFERROR(tbl_sales3[[#This Row],[Sale_Price]]*tbl_sales3[[#This Row],[Commission_Rate]],0)</f>
        <v>32274.044999999998</v>
      </c>
      <c r="S224" t="str">
        <f>IF(ABS(tbl_sales3[[#This Row],[Commission_Earned]]-tbl_sales3[[#This Row],[Calculated_Commission]])&lt;0.02,"Correct","Mismatch")</f>
        <v>Correct</v>
      </c>
      <c r="T224">
        <f>YEAR(tbl_sales3[[#This Row],[Sale_Date]])</f>
        <v>2024</v>
      </c>
      <c r="U224" s="1" t="str">
        <f>TEXT(tbl_sales3[[#This Row],[Sale_Date]],"mmmm")</f>
        <v>January</v>
      </c>
      <c r="V224" s="2">
        <f>EOMONTH(tbl_sales3[[#This Row],[Sale_Date]],0)</f>
        <v>45322</v>
      </c>
      <c r="W224" s="1" t="str">
        <f>IF(AND(tbl_sales3[[#This Row],[Sale_Price]]&gt;1000000,tbl_sales3[[#This Row],[Days_on_Market]]&lt;30),"High Demand","Normal")</f>
        <v>Normal</v>
      </c>
    </row>
    <row r="225" spans="1:23" x14ac:dyDescent="0.3">
      <c r="A225" s="1" t="s">
        <v>263</v>
      </c>
      <c r="B225" s="1" t="s">
        <v>37</v>
      </c>
      <c r="C225" s="1" t="s">
        <v>33</v>
      </c>
      <c r="D225">
        <v>5</v>
      </c>
      <c r="E225">
        <v>3</v>
      </c>
      <c r="F225">
        <v>1107</v>
      </c>
      <c r="G225">
        <v>377084</v>
      </c>
      <c r="H225">
        <v>326286</v>
      </c>
      <c r="I225" s="2">
        <v>45016</v>
      </c>
      <c r="J225" s="2">
        <v>45088</v>
      </c>
      <c r="K225">
        <v>72</v>
      </c>
      <c r="L225" s="1" t="s">
        <v>44</v>
      </c>
      <c r="M225" s="1" t="s">
        <v>20</v>
      </c>
      <c r="N225">
        <v>0.05</v>
      </c>
      <c r="O225">
        <v>16314.3</v>
      </c>
      <c r="P225">
        <v>-50798</v>
      </c>
      <c r="Q225" t="str">
        <f>IF(tbl_sales3[[#This Row],[Sale_Price]]&lt;500000,"Budget",
IF(tbl_sales3[[#This Row],[Sale_Price]]&lt;1000000,"Mid-Range",
"Luxury"))</f>
        <v>Budget</v>
      </c>
      <c r="R225" s="4">
        <f>IFERROR(tbl_sales3[[#This Row],[Sale_Price]]*tbl_sales3[[#This Row],[Commission_Rate]],0)</f>
        <v>16314.300000000001</v>
      </c>
      <c r="S225" t="str">
        <f>IF(ABS(tbl_sales3[[#This Row],[Commission_Earned]]-tbl_sales3[[#This Row],[Calculated_Commission]])&lt;0.02,"Correct","Mismatch")</f>
        <v>Correct</v>
      </c>
      <c r="T225">
        <f>YEAR(tbl_sales3[[#This Row],[Sale_Date]])</f>
        <v>2023</v>
      </c>
      <c r="U225" s="1" t="str">
        <f>TEXT(tbl_sales3[[#This Row],[Sale_Date]],"mmmm")</f>
        <v>June</v>
      </c>
      <c r="V225" s="2">
        <f>EOMONTH(tbl_sales3[[#This Row],[Sale_Date]],0)</f>
        <v>45107</v>
      </c>
      <c r="W225" s="1" t="str">
        <f>IF(AND(tbl_sales3[[#This Row],[Sale_Price]]&gt;1000000,tbl_sales3[[#This Row],[Days_on_Market]]&lt;30),"High Demand","Normal")</f>
        <v>Normal</v>
      </c>
    </row>
    <row r="226" spans="1:23" x14ac:dyDescent="0.3">
      <c r="A226" s="1" t="s">
        <v>264</v>
      </c>
      <c r="B226" s="1" t="s">
        <v>37</v>
      </c>
      <c r="C226" s="1" t="s">
        <v>23</v>
      </c>
      <c r="D226">
        <v>2</v>
      </c>
      <c r="E226">
        <v>3</v>
      </c>
      <c r="F226">
        <v>1394</v>
      </c>
      <c r="G226">
        <v>1511127</v>
      </c>
      <c r="H226">
        <v>1471239</v>
      </c>
      <c r="I226" s="2">
        <v>45088</v>
      </c>
      <c r="J226" s="2">
        <v>45110</v>
      </c>
      <c r="K226">
        <v>22</v>
      </c>
      <c r="L226" s="1" t="s">
        <v>51</v>
      </c>
      <c r="M226" s="1" t="s">
        <v>28</v>
      </c>
      <c r="N226">
        <v>0.04</v>
      </c>
      <c r="O226">
        <v>58849.56</v>
      </c>
      <c r="P226">
        <v>-39888</v>
      </c>
      <c r="Q226" t="str">
        <f>IF(tbl_sales3[[#This Row],[Sale_Price]]&lt;500000,"Budget",
IF(tbl_sales3[[#This Row],[Sale_Price]]&lt;1000000,"Mid-Range",
"Luxury"))</f>
        <v>Luxury</v>
      </c>
      <c r="R226" s="4">
        <f>IFERROR(tbl_sales3[[#This Row],[Sale_Price]]*tbl_sales3[[#This Row],[Commission_Rate]],0)</f>
        <v>58849.56</v>
      </c>
      <c r="S226" t="str">
        <f>IF(ABS(tbl_sales3[[#This Row],[Commission_Earned]]-tbl_sales3[[#This Row],[Calculated_Commission]])&lt;0.02,"Correct","Mismatch")</f>
        <v>Correct</v>
      </c>
      <c r="T226">
        <f>YEAR(tbl_sales3[[#This Row],[Sale_Date]])</f>
        <v>2023</v>
      </c>
      <c r="U226" s="1" t="str">
        <f>TEXT(tbl_sales3[[#This Row],[Sale_Date]],"mmmm")</f>
        <v>July</v>
      </c>
      <c r="V226" s="2">
        <f>EOMONTH(tbl_sales3[[#This Row],[Sale_Date]],0)</f>
        <v>45138</v>
      </c>
      <c r="W226" s="1" t="str">
        <f>IF(AND(tbl_sales3[[#This Row],[Sale_Price]]&gt;1000000,tbl_sales3[[#This Row],[Days_on_Market]]&lt;30),"High Demand","Normal")</f>
        <v>High Demand</v>
      </c>
    </row>
    <row r="227" spans="1:23" x14ac:dyDescent="0.3">
      <c r="A227" s="1" t="s">
        <v>265</v>
      </c>
      <c r="B227" s="1" t="s">
        <v>32</v>
      </c>
      <c r="C227" s="1" t="s">
        <v>23</v>
      </c>
      <c r="D227">
        <v>3</v>
      </c>
      <c r="E227">
        <v>2</v>
      </c>
      <c r="F227">
        <v>2061</v>
      </c>
      <c r="G227">
        <v>490440</v>
      </c>
      <c r="H227">
        <v>424622</v>
      </c>
      <c r="I227" s="2">
        <v>45407</v>
      </c>
      <c r="J227" s="2">
        <v>45425</v>
      </c>
      <c r="K227">
        <v>18</v>
      </c>
      <c r="L227" s="1" t="s">
        <v>19</v>
      </c>
      <c r="M227" s="1" t="s">
        <v>20</v>
      </c>
      <c r="N227">
        <v>4.4999999999999998E-2</v>
      </c>
      <c r="O227">
        <v>19107.990000000002</v>
      </c>
      <c r="P227">
        <v>-65818</v>
      </c>
      <c r="Q227" t="str">
        <f>IF(tbl_sales3[[#This Row],[Sale_Price]]&lt;500000,"Budget",
IF(tbl_sales3[[#This Row],[Sale_Price]]&lt;1000000,"Mid-Range",
"Luxury"))</f>
        <v>Budget</v>
      </c>
      <c r="R227" s="4">
        <f>IFERROR(tbl_sales3[[#This Row],[Sale_Price]]*tbl_sales3[[#This Row],[Commission_Rate]],0)</f>
        <v>19107.989999999998</v>
      </c>
      <c r="S227" t="str">
        <f>IF(ABS(tbl_sales3[[#This Row],[Commission_Earned]]-tbl_sales3[[#This Row],[Calculated_Commission]])&lt;0.02,"Correct","Mismatch")</f>
        <v>Correct</v>
      </c>
      <c r="T227">
        <f>YEAR(tbl_sales3[[#This Row],[Sale_Date]])</f>
        <v>2024</v>
      </c>
      <c r="U227" s="1" t="str">
        <f>TEXT(tbl_sales3[[#This Row],[Sale_Date]],"mmmm")</f>
        <v>May</v>
      </c>
      <c r="V227" s="2">
        <f>EOMONTH(tbl_sales3[[#This Row],[Sale_Date]],0)</f>
        <v>45443</v>
      </c>
      <c r="W227" s="1" t="str">
        <f>IF(AND(tbl_sales3[[#This Row],[Sale_Price]]&gt;1000000,tbl_sales3[[#This Row],[Days_on_Market]]&lt;30),"High Demand","Normal")</f>
        <v>Normal</v>
      </c>
    </row>
    <row r="228" spans="1:23" x14ac:dyDescent="0.3">
      <c r="A228" s="1" t="s">
        <v>266</v>
      </c>
      <c r="B228" s="1" t="s">
        <v>26</v>
      </c>
      <c r="C228" s="1" t="s">
        <v>38</v>
      </c>
      <c r="D228">
        <v>5</v>
      </c>
      <c r="E228">
        <v>2</v>
      </c>
      <c r="F228">
        <v>2434</v>
      </c>
      <c r="G228">
        <v>1709760</v>
      </c>
      <c r="H228">
        <v>1655680</v>
      </c>
      <c r="I228" s="2">
        <v>45267</v>
      </c>
      <c r="J228" s="2">
        <v>45306</v>
      </c>
      <c r="K228">
        <v>39</v>
      </c>
      <c r="L228" s="1" t="s">
        <v>44</v>
      </c>
      <c r="M228" s="1" t="s">
        <v>28</v>
      </c>
      <c r="N228">
        <v>4.4999999999999998E-2</v>
      </c>
      <c r="O228">
        <v>74505.600000000006</v>
      </c>
      <c r="P228">
        <v>-54080</v>
      </c>
      <c r="Q228" t="str">
        <f>IF(tbl_sales3[[#This Row],[Sale_Price]]&lt;500000,"Budget",
IF(tbl_sales3[[#This Row],[Sale_Price]]&lt;1000000,"Mid-Range",
"Luxury"))</f>
        <v>Luxury</v>
      </c>
      <c r="R228" s="4">
        <f>IFERROR(tbl_sales3[[#This Row],[Sale_Price]]*tbl_sales3[[#This Row],[Commission_Rate]],0)</f>
        <v>74505.599999999991</v>
      </c>
      <c r="S228" t="str">
        <f>IF(ABS(tbl_sales3[[#This Row],[Commission_Earned]]-tbl_sales3[[#This Row],[Calculated_Commission]])&lt;0.02,"Correct","Mismatch")</f>
        <v>Correct</v>
      </c>
      <c r="T228">
        <f>YEAR(tbl_sales3[[#This Row],[Sale_Date]])</f>
        <v>2024</v>
      </c>
      <c r="U228" s="1" t="str">
        <f>TEXT(tbl_sales3[[#This Row],[Sale_Date]],"mmmm")</f>
        <v>January</v>
      </c>
      <c r="V228" s="2">
        <f>EOMONTH(tbl_sales3[[#This Row],[Sale_Date]],0)</f>
        <v>45322</v>
      </c>
      <c r="W228" s="1" t="str">
        <f>IF(AND(tbl_sales3[[#This Row],[Sale_Price]]&gt;1000000,tbl_sales3[[#This Row],[Days_on_Market]]&lt;30),"High Demand","Normal")</f>
        <v>Normal</v>
      </c>
    </row>
    <row r="229" spans="1:23" x14ac:dyDescent="0.3">
      <c r="A229" s="1" t="s">
        <v>267</v>
      </c>
      <c r="B229" s="1" t="s">
        <v>37</v>
      </c>
      <c r="C229" s="1" t="s">
        <v>33</v>
      </c>
      <c r="D229">
        <v>1</v>
      </c>
      <c r="E229">
        <v>1</v>
      </c>
      <c r="F229">
        <v>2298</v>
      </c>
      <c r="G229">
        <v>631273</v>
      </c>
      <c r="H229">
        <v>621451</v>
      </c>
      <c r="I229" s="2">
        <v>45113</v>
      </c>
      <c r="J229" s="2">
        <v>45157</v>
      </c>
      <c r="K229">
        <v>44</v>
      </c>
      <c r="L229" s="1" t="s">
        <v>39</v>
      </c>
      <c r="M229" s="1" t="s">
        <v>28</v>
      </c>
      <c r="N229">
        <v>4.4999999999999998E-2</v>
      </c>
      <c r="O229">
        <v>27965.29</v>
      </c>
      <c r="P229">
        <v>-9822</v>
      </c>
      <c r="Q229" t="str">
        <f>IF(tbl_sales3[[#This Row],[Sale_Price]]&lt;500000,"Budget",
IF(tbl_sales3[[#This Row],[Sale_Price]]&lt;1000000,"Mid-Range",
"Luxury"))</f>
        <v>Mid-Range</v>
      </c>
      <c r="R229" s="4">
        <f>IFERROR(tbl_sales3[[#This Row],[Sale_Price]]*tbl_sales3[[#This Row],[Commission_Rate]],0)</f>
        <v>27965.294999999998</v>
      </c>
      <c r="S229" t="str">
        <f>IF(ABS(tbl_sales3[[#This Row],[Commission_Earned]]-tbl_sales3[[#This Row],[Calculated_Commission]])&lt;0.02,"Correct","Mismatch")</f>
        <v>Correct</v>
      </c>
      <c r="T229">
        <f>YEAR(tbl_sales3[[#This Row],[Sale_Date]])</f>
        <v>2023</v>
      </c>
      <c r="U229" s="1" t="str">
        <f>TEXT(tbl_sales3[[#This Row],[Sale_Date]],"mmmm")</f>
        <v>August</v>
      </c>
      <c r="V229" s="2">
        <f>EOMONTH(tbl_sales3[[#This Row],[Sale_Date]],0)</f>
        <v>45169</v>
      </c>
      <c r="W229" s="1" t="str">
        <f>IF(AND(tbl_sales3[[#This Row],[Sale_Price]]&gt;1000000,tbl_sales3[[#This Row],[Days_on_Market]]&lt;30),"High Demand","Normal")</f>
        <v>Normal</v>
      </c>
    </row>
    <row r="230" spans="1:23" x14ac:dyDescent="0.3">
      <c r="A230" s="1" t="s">
        <v>268</v>
      </c>
      <c r="B230" s="1" t="s">
        <v>37</v>
      </c>
      <c r="C230" s="1" t="s">
        <v>38</v>
      </c>
      <c r="D230">
        <v>4</v>
      </c>
      <c r="E230">
        <v>3</v>
      </c>
      <c r="F230">
        <v>2715</v>
      </c>
      <c r="G230">
        <v>852821</v>
      </c>
      <c r="H230">
        <v>844633</v>
      </c>
      <c r="I230" s="2">
        <v>45015</v>
      </c>
      <c r="J230" s="2">
        <v>45022</v>
      </c>
      <c r="K230">
        <v>7</v>
      </c>
      <c r="L230" s="1" t="s">
        <v>27</v>
      </c>
      <c r="M230" s="1" t="s">
        <v>24</v>
      </c>
      <c r="N230">
        <v>0.04</v>
      </c>
      <c r="O230">
        <v>33785.32</v>
      </c>
      <c r="P230">
        <v>-8188</v>
      </c>
      <c r="Q230" t="str">
        <f>IF(tbl_sales3[[#This Row],[Sale_Price]]&lt;500000,"Budget",
IF(tbl_sales3[[#This Row],[Sale_Price]]&lt;1000000,"Mid-Range",
"Luxury"))</f>
        <v>Mid-Range</v>
      </c>
      <c r="R230" s="4">
        <f>IFERROR(tbl_sales3[[#This Row],[Sale_Price]]*tbl_sales3[[#This Row],[Commission_Rate]],0)</f>
        <v>33785.32</v>
      </c>
      <c r="S230" t="str">
        <f>IF(ABS(tbl_sales3[[#This Row],[Commission_Earned]]-tbl_sales3[[#This Row],[Calculated_Commission]])&lt;0.02,"Correct","Mismatch")</f>
        <v>Correct</v>
      </c>
      <c r="T230">
        <f>YEAR(tbl_sales3[[#This Row],[Sale_Date]])</f>
        <v>2023</v>
      </c>
      <c r="U230" s="1" t="str">
        <f>TEXT(tbl_sales3[[#This Row],[Sale_Date]],"mmmm")</f>
        <v>April</v>
      </c>
      <c r="V230" s="2">
        <f>EOMONTH(tbl_sales3[[#This Row],[Sale_Date]],0)</f>
        <v>45046</v>
      </c>
      <c r="W230" s="1" t="str">
        <f>IF(AND(tbl_sales3[[#This Row],[Sale_Price]]&gt;1000000,tbl_sales3[[#This Row],[Days_on_Market]]&lt;30),"High Demand","Normal")</f>
        <v>Normal</v>
      </c>
    </row>
    <row r="231" spans="1:23" x14ac:dyDescent="0.3">
      <c r="A231" s="1" t="s">
        <v>269</v>
      </c>
      <c r="B231" s="1" t="s">
        <v>59</v>
      </c>
      <c r="C231" s="1" t="s">
        <v>35</v>
      </c>
      <c r="D231">
        <v>3</v>
      </c>
      <c r="E231">
        <v>2</v>
      </c>
      <c r="F231">
        <v>3258</v>
      </c>
      <c r="G231">
        <v>1072550</v>
      </c>
      <c r="H231">
        <v>1032734</v>
      </c>
      <c r="I231" s="2">
        <v>45016</v>
      </c>
      <c r="J231" s="2">
        <v>45075</v>
      </c>
      <c r="K231">
        <v>59</v>
      </c>
      <c r="L231" s="1" t="s">
        <v>53</v>
      </c>
      <c r="M231" s="1" t="s">
        <v>28</v>
      </c>
      <c r="N231">
        <v>0.05</v>
      </c>
      <c r="O231">
        <v>51636.7</v>
      </c>
      <c r="P231">
        <v>-39816</v>
      </c>
      <c r="Q231" t="str">
        <f>IF(tbl_sales3[[#This Row],[Sale_Price]]&lt;500000,"Budget",
IF(tbl_sales3[[#This Row],[Sale_Price]]&lt;1000000,"Mid-Range",
"Luxury"))</f>
        <v>Luxury</v>
      </c>
      <c r="R231" s="4">
        <f>IFERROR(tbl_sales3[[#This Row],[Sale_Price]]*tbl_sales3[[#This Row],[Commission_Rate]],0)</f>
        <v>51636.700000000004</v>
      </c>
      <c r="S231" t="str">
        <f>IF(ABS(tbl_sales3[[#This Row],[Commission_Earned]]-tbl_sales3[[#This Row],[Calculated_Commission]])&lt;0.02,"Correct","Mismatch")</f>
        <v>Correct</v>
      </c>
      <c r="T231">
        <f>YEAR(tbl_sales3[[#This Row],[Sale_Date]])</f>
        <v>2023</v>
      </c>
      <c r="U231" s="1" t="str">
        <f>TEXT(tbl_sales3[[#This Row],[Sale_Date]],"mmmm")</f>
        <v>May</v>
      </c>
      <c r="V231" s="2">
        <f>EOMONTH(tbl_sales3[[#This Row],[Sale_Date]],0)</f>
        <v>45077</v>
      </c>
      <c r="W231" s="1" t="str">
        <f>IF(AND(tbl_sales3[[#This Row],[Sale_Price]]&gt;1000000,tbl_sales3[[#This Row],[Days_on_Market]]&lt;30),"High Demand","Normal")</f>
        <v>Normal</v>
      </c>
    </row>
    <row r="232" spans="1:23" x14ac:dyDescent="0.3">
      <c r="A232" s="1" t="s">
        <v>270</v>
      </c>
      <c r="B232" s="1" t="s">
        <v>26</v>
      </c>
      <c r="C232" s="1" t="s">
        <v>38</v>
      </c>
      <c r="D232">
        <v>5</v>
      </c>
      <c r="E232">
        <v>1</v>
      </c>
      <c r="F232">
        <v>1418</v>
      </c>
      <c r="G232">
        <v>1386311</v>
      </c>
      <c r="H232">
        <v>1352390</v>
      </c>
      <c r="I232" s="2">
        <v>45190</v>
      </c>
      <c r="J232" s="2">
        <v>45211</v>
      </c>
      <c r="K232">
        <v>21</v>
      </c>
      <c r="L232" s="1" t="s">
        <v>42</v>
      </c>
      <c r="M232" s="1" t="s">
        <v>20</v>
      </c>
      <c r="N232">
        <v>0.04</v>
      </c>
      <c r="O232">
        <v>54095.6</v>
      </c>
      <c r="P232">
        <v>-33921</v>
      </c>
      <c r="Q232" t="str">
        <f>IF(tbl_sales3[[#This Row],[Sale_Price]]&lt;500000,"Budget",
IF(tbl_sales3[[#This Row],[Sale_Price]]&lt;1000000,"Mid-Range",
"Luxury"))</f>
        <v>Luxury</v>
      </c>
      <c r="R232" s="4">
        <f>IFERROR(tbl_sales3[[#This Row],[Sale_Price]]*tbl_sales3[[#This Row],[Commission_Rate]],0)</f>
        <v>54095.6</v>
      </c>
      <c r="S232" t="str">
        <f>IF(ABS(tbl_sales3[[#This Row],[Commission_Earned]]-tbl_sales3[[#This Row],[Calculated_Commission]])&lt;0.02,"Correct","Mismatch")</f>
        <v>Correct</v>
      </c>
      <c r="T232">
        <f>YEAR(tbl_sales3[[#This Row],[Sale_Date]])</f>
        <v>2023</v>
      </c>
      <c r="U232" s="1" t="str">
        <f>TEXT(tbl_sales3[[#This Row],[Sale_Date]],"mmmm")</f>
        <v>October</v>
      </c>
      <c r="V232" s="2">
        <f>EOMONTH(tbl_sales3[[#This Row],[Sale_Date]],0)</f>
        <v>45230</v>
      </c>
      <c r="W232" s="1" t="str">
        <f>IF(AND(tbl_sales3[[#This Row],[Sale_Price]]&gt;1000000,tbl_sales3[[#This Row],[Days_on_Market]]&lt;30),"High Demand","Normal")</f>
        <v>High Demand</v>
      </c>
    </row>
    <row r="233" spans="1:23" x14ac:dyDescent="0.3">
      <c r="A233" s="1" t="s">
        <v>271</v>
      </c>
      <c r="B233" s="1" t="s">
        <v>22</v>
      </c>
      <c r="C233" s="1" t="s">
        <v>38</v>
      </c>
      <c r="D233">
        <v>5</v>
      </c>
      <c r="E233">
        <v>1</v>
      </c>
      <c r="F233">
        <v>825</v>
      </c>
      <c r="G233">
        <v>731490</v>
      </c>
      <c r="H233">
        <v>697553</v>
      </c>
      <c r="I233" s="2">
        <v>45481</v>
      </c>
      <c r="J233" s="2">
        <v>45503</v>
      </c>
      <c r="K233">
        <v>22</v>
      </c>
      <c r="L233" s="1" t="s">
        <v>39</v>
      </c>
      <c r="M233" s="1" t="s">
        <v>24</v>
      </c>
      <c r="N233">
        <v>0.05</v>
      </c>
      <c r="O233">
        <v>34877.65</v>
      </c>
      <c r="P233">
        <v>-33937</v>
      </c>
      <c r="Q233" t="str">
        <f>IF(tbl_sales3[[#This Row],[Sale_Price]]&lt;500000,"Budget",
IF(tbl_sales3[[#This Row],[Sale_Price]]&lt;1000000,"Mid-Range",
"Luxury"))</f>
        <v>Mid-Range</v>
      </c>
      <c r="R233" s="4">
        <f>IFERROR(tbl_sales3[[#This Row],[Sale_Price]]*tbl_sales3[[#This Row],[Commission_Rate]],0)</f>
        <v>34877.65</v>
      </c>
      <c r="S233" t="str">
        <f>IF(ABS(tbl_sales3[[#This Row],[Commission_Earned]]-tbl_sales3[[#This Row],[Calculated_Commission]])&lt;0.02,"Correct","Mismatch")</f>
        <v>Correct</v>
      </c>
      <c r="T233">
        <f>YEAR(tbl_sales3[[#This Row],[Sale_Date]])</f>
        <v>2024</v>
      </c>
      <c r="U233" s="1" t="str">
        <f>TEXT(tbl_sales3[[#This Row],[Sale_Date]],"mmmm")</f>
        <v>July</v>
      </c>
      <c r="V233" s="2">
        <f>EOMONTH(tbl_sales3[[#This Row],[Sale_Date]],0)</f>
        <v>45504</v>
      </c>
      <c r="W233" s="1" t="str">
        <f>IF(AND(tbl_sales3[[#This Row],[Sale_Price]]&gt;1000000,tbl_sales3[[#This Row],[Days_on_Market]]&lt;30),"High Demand","Normal")</f>
        <v>Normal</v>
      </c>
    </row>
    <row r="234" spans="1:23" x14ac:dyDescent="0.3">
      <c r="A234" s="1" t="s">
        <v>272</v>
      </c>
      <c r="B234" s="1" t="s">
        <v>17</v>
      </c>
      <c r="C234" s="1" t="s">
        <v>33</v>
      </c>
      <c r="D234">
        <v>3</v>
      </c>
      <c r="E234">
        <v>3</v>
      </c>
      <c r="F234">
        <v>928</v>
      </c>
      <c r="G234">
        <v>489206</v>
      </c>
      <c r="H234">
        <v>444606</v>
      </c>
      <c r="I234" s="2">
        <v>45201</v>
      </c>
      <c r="J234" s="2">
        <v>45224</v>
      </c>
      <c r="K234">
        <v>23</v>
      </c>
      <c r="L234" s="1" t="s">
        <v>44</v>
      </c>
      <c r="M234" s="1" t="s">
        <v>20</v>
      </c>
      <c r="N234">
        <v>0.04</v>
      </c>
      <c r="O234">
        <v>17784.240000000002</v>
      </c>
      <c r="P234">
        <v>-44600</v>
      </c>
      <c r="Q234" t="str">
        <f>IF(tbl_sales3[[#This Row],[Sale_Price]]&lt;500000,"Budget",
IF(tbl_sales3[[#This Row],[Sale_Price]]&lt;1000000,"Mid-Range",
"Luxury"))</f>
        <v>Budget</v>
      </c>
      <c r="R234" s="4">
        <f>IFERROR(tbl_sales3[[#This Row],[Sale_Price]]*tbl_sales3[[#This Row],[Commission_Rate]],0)</f>
        <v>17784.240000000002</v>
      </c>
      <c r="S234" t="str">
        <f>IF(ABS(tbl_sales3[[#This Row],[Commission_Earned]]-tbl_sales3[[#This Row],[Calculated_Commission]])&lt;0.02,"Correct","Mismatch")</f>
        <v>Correct</v>
      </c>
      <c r="T234">
        <f>YEAR(tbl_sales3[[#This Row],[Sale_Date]])</f>
        <v>2023</v>
      </c>
      <c r="U234" s="1" t="str">
        <f>TEXT(tbl_sales3[[#This Row],[Sale_Date]],"mmmm")</f>
        <v>October</v>
      </c>
      <c r="V234" s="2">
        <f>EOMONTH(tbl_sales3[[#This Row],[Sale_Date]],0)</f>
        <v>45230</v>
      </c>
      <c r="W234" s="1" t="str">
        <f>IF(AND(tbl_sales3[[#This Row],[Sale_Price]]&gt;1000000,tbl_sales3[[#This Row],[Days_on_Market]]&lt;30),"High Demand","Normal")</f>
        <v>Normal</v>
      </c>
    </row>
    <row r="235" spans="1:23" x14ac:dyDescent="0.3">
      <c r="A235" s="1" t="s">
        <v>273</v>
      </c>
      <c r="B235" s="1" t="s">
        <v>48</v>
      </c>
      <c r="C235" s="1" t="s">
        <v>23</v>
      </c>
      <c r="D235">
        <v>3</v>
      </c>
      <c r="E235">
        <v>1</v>
      </c>
      <c r="F235">
        <v>3073</v>
      </c>
      <c r="G235">
        <v>1443117</v>
      </c>
      <c r="H235">
        <v>1407141</v>
      </c>
      <c r="I235" s="2">
        <v>45381</v>
      </c>
      <c r="J235" s="2">
        <v>45414</v>
      </c>
      <c r="K235">
        <v>33</v>
      </c>
      <c r="L235" s="1" t="s">
        <v>30</v>
      </c>
      <c r="M235" s="1" t="s">
        <v>20</v>
      </c>
      <c r="N235">
        <v>0.05</v>
      </c>
      <c r="O235">
        <v>70357.05</v>
      </c>
      <c r="P235">
        <v>-35976</v>
      </c>
      <c r="Q235" t="str">
        <f>IF(tbl_sales3[[#This Row],[Sale_Price]]&lt;500000,"Budget",
IF(tbl_sales3[[#This Row],[Sale_Price]]&lt;1000000,"Mid-Range",
"Luxury"))</f>
        <v>Luxury</v>
      </c>
      <c r="R235" s="4">
        <f>IFERROR(tbl_sales3[[#This Row],[Sale_Price]]*tbl_sales3[[#This Row],[Commission_Rate]],0)</f>
        <v>70357.05</v>
      </c>
      <c r="S235" t="str">
        <f>IF(ABS(tbl_sales3[[#This Row],[Commission_Earned]]-tbl_sales3[[#This Row],[Calculated_Commission]])&lt;0.02,"Correct","Mismatch")</f>
        <v>Correct</v>
      </c>
      <c r="T235">
        <f>YEAR(tbl_sales3[[#This Row],[Sale_Date]])</f>
        <v>2024</v>
      </c>
      <c r="U235" s="1" t="str">
        <f>TEXT(tbl_sales3[[#This Row],[Sale_Date]],"mmmm")</f>
        <v>May</v>
      </c>
      <c r="V235" s="2">
        <f>EOMONTH(tbl_sales3[[#This Row],[Sale_Date]],0)</f>
        <v>45443</v>
      </c>
      <c r="W235" s="1" t="str">
        <f>IF(AND(tbl_sales3[[#This Row],[Sale_Price]]&gt;1000000,tbl_sales3[[#This Row],[Days_on_Market]]&lt;30),"High Demand","Normal")</f>
        <v>Normal</v>
      </c>
    </row>
    <row r="236" spans="1:23" x14ac:dyDescent="0.3">
      <c r="A236" s="1" t="s">
        <v>274</v>
      </c>
      <c r="B236" s="1" t="s">
        <v>48</v>
      </c>
      <c r="C236" s="1" t="s">
        <v>33</v>
      </c>
      <c r="D236">
        <v>2</v>
      </c>
      <c r="E236">
        <v>1</v>
      </c>
      <c r="F236">
        <v>2510</v>
      </c>
      <c r="G236">
        <v>958453</v>
      </c>
      <c r="H236">
        <v>900736</v>
      </c>
      <c r="I236" s="2">
        <v>45138</v>
      </c>
      <c r="J236" s="2">
        <v>45220</v>
      </c>
      <c r="K236">
        <v>82</v>
      </c>
      <c r="L236" s="1" t="s">
        <v>42</v>
      </c>
      <c r="M236" s="1" t="s">
        <v>24</v>
      </c>
      <c r="N236">
        <v>0.04</v>
      </c>
      <c r="O236">
        <v>36029.440000000002</v>
      </c>
      <c r="P236">
        <v>-57717</v>
      </c>
      <c r="Q236" t="str">
        <f>IF(tbl_sales3[[#This Row],[Sale_Price]]&lt;500000,"Budget",
IF(tbl_sales3[[#This Row],[Sale_Price]]&lt;1000000,"Mid-Range",
"Luxury"))</f>
        <v>Mid-Range</v>
      </c>
      <c r="R236" s="4">
        <f>IFERROR(tbl_sales3[[#This Row],[Sale_Price]]*tbl_sales3[[#This Row],[Commission_Rate]],0)</f>
        <v>36029.440000000002</v>
      </c>
      <c r="S236" t="str">
        <f>IF(ABS(tbl_sales3[[#This Row],[Commission_Earned]]-tbl_sales3[[#This Row],[Calculated_Commission]])&lt;0.02,"Correct","Mismatch")</f>
        <v>Correct</v>
      </c>
      <c r="T236">
        <f>YEAR(tbl_sales3[[#This Row],[Sale_Date]])</f>
        <v>2023</v>
      </c>
      <c r="U236" s="1" t="str">
        <f>TEXT(tbl_sales3[[#This Row],[Sale_Date]],"mmmm")</f>
        <v>October</v>
      </c>
      <c r="V236" s="2">
        <f>EOMONTH(tbl_sales3[[#This Row],[Sale_Date]],0)</f>
        <v>45230</v>
      </c>
      <c r="W236" s="1" t="str">
        <f>IF(AND(tbl_sales3[[#This Row],[Sale_Price]]&gt;1000000,tbl_sales3[[#This Row],[Days_on_Market]]&lt;30),"High Demand","Normal")</f>
        <v>Normal</v>
      </c>
    </row>
    <row r="237" spans="1:23" x14ac:dyDescent="0.3">
      <c r="A237" s="1" t="s">
        <v>275</v>
      </c>
      <c r="B237" s="1" t="s">
        <v>17</v>
      </c>
      <c r="C237" s="1" t="s">
        <v>38</v>
      </c>
      <c r="D237">
        <v>4</v>
      </c>
      <c r="E237">
        <v>4</v>
      </c>
      <c r="F237">
        <v>1767</v>
      </c>
      <c r="G237">
        <v>1377631</v>
      </c>
      <c r="H237">
        <v>1370537</v>
      </c>
      <c r="I237" s="2">
        <v>45365</v>
      </c>
      <c r="J237" s="2">
        <v>45410</v>
      </c>
      <c r="K237">
        <v>45</v>
      </c>
      <c r="L237" s="1" t="s">
        <v>51</v>
      </c>
      <c r="M237" s="1" t="s">
        <v>20</v>
      </c>
      <c r="N237">
        <v>0.05</v>
      </c>
      <c r="O237">
        <v>68526.850000000006</v>
      </c>
      <c r="P237">
        <v>-7094</v>
      </c>
      <c r="Q237" t="str">
        <f>IF(tbl_sales3[[#This Row],[Sale_Price]]&lt;500000,"Budget",
IF(tbl_sales3[[#This Row],[Sale_Price]]&lt;1000000,"Mid-Range",
"Luxury"))</f>
        <v>Luxury</v>
      </c>
      <c r="R237" s="4">
        <f>IFERROR(tbl_sales3[[#This Row],[Sale_Price]]*tbl_sales3[[#This Row],[Commission_Rate]],0)</f>
        <v>68526.850000000006</v>
      </c>
      <c r="S237" t="str">
        <f>IF(ABS(tbl_sales3[[#This Row],[Commission_Earned]]-tbl_sales3[[#This Row],[Calculated_Commission]])&lt;0.02,"Correct","Mismatch")</f>
        <v>Correct</v>
      </c>
      <c r="T237">
        <f>YEAR(tbl_sales3[[#This Row],[Sale_Date]])</f>
        <v>2024</v>
      </c>
      <c r="U237" s="1" t="str">
        <f>TEXT(tbl_sales3[[#This Row],[Sale_Date]],"mmmm")</f>
        <v>April</v>
      </c>
      <c r="V237" s="2">
        <f>EOMONTH(tbl_sales3[[#This Row],[Sale_Date]],0)</f>
        <v>45412</v>
      </c>
      <c r="W237" s="1" t="str">
        <f>IF(AND(tbl_sales3[[#This Row],[Sale_Price]]&gt;1000000,tbl_sales3[[#This Row],[Days_on_Market]]&lt;30),"High Demand","Normal")</f>
        <v>Normal</v>
      </c>
    </row>
    <row r="238" spans="1:23" x14ac:dyDescent="0.3">
      <c r="A238" s="1" t="s">
        <v>276</v>
      </c>
      <c r="B238" s="1" t="s">
        <v>48</v>
      </c>
      <c r="C238" s="1" t="s">
        <v>18</v>
      </c>
      <c r="D238">
        <v>5</v>
      </c>
      <c r="E238">
        <v>1</v>
      </c>
      <c r="F238">
        <v>1396</v>
      </c>
      <c r="G238">
        <v>550070</v>
      </c>
      <c r="H238">
        <v>521528</v>
      </c>
      <c r="I238" s="2">
        <v>45405</v>
      </c>
      <c r="J238" s="2">
        <v>45458</v>
      </c>
      <c r="K238">
        <v>53</v>
      </c>
      <c r="L238" s="1" t="s">
        <v>51</v>
      </c>
      <c r="M238" s="1" t="s">
        <v>28</v>
      </c>
      <c r="N238">
        <v>0.04</v>
      </c>
      <c r="O238">
        <v>20861.12</v>
      </c>
      <c r="P238">
        <v>-28542</v>
      </c>
      <c r="Q238" t="str">
        <f>IF(tbl_sales3[[#This Row],[Sale_Price]]&lt;500000,"Budget",
IF(tbl_sales3[[#This Row],[Sale_Price]]&lt;1000000,"Mid-Range",
"Luxury"))</f>
        <v>Mid-Range</v>
      </c>
      <c r="R238" s="4">
        <f>IFERROR(tbl_sales3[[#This Row],[Sale_Price]]*tbl_sales3[[#This Row],[Commission_Rate]],0)</f>
        <v>20861.12</v>
      </c>
      <c r="S238" t="str">
        <f>IF(ABS(tbl_sales3[[#This Row],[Commission_Earned]]-tbl_sales3[[#This Row],[Calculated_Commission]])&lt;0.02,"Correct","Mismatch")</f>
        <v>Correct</v>
      </c>
      <c r="T238">
        <f>YEAR(tbl_sales3[[#This Row],[Sale_Date]])</f>
        <v>2024</v>
      </c>
      <c r="U238" s="1" t="str">
        <f>TEXT(tbl_sales3[[#This Row],[Sale_Date]],"mmmm")</f>
        <v>June</v>
      </c>
      <c r="V238" s="2">
        <f>EOMONTH(tbl_sales3[[#This Row],[Sale_Date]],0)</f>
        <v>45473</v>
      </c>
      <c r="W238" s="1" t="str">
        <f>IF(AND(tbl_sales3[[#This Row],[Sale_Price]]&gt;1000000,tbl_sales3[[#This Row],[Days_on_Market]]&lt;30),"High Demand","Normal")</f>
        <v>Normal</v>
      </c>
    </row>
    <row r="239" spans="1:23" x14ac:dyDescent="0.3">
      <c r="A239" s="1" t="s">
        <v>277</v>
      </c>
      <c r="B239" s="1" t="s">
        <v>37</v>
      </c>
      <c r="C239" s="1" t="s">
        <v>38</v>
      </c>
      <c r="D239">
        <v>1</v>
      </c>
      <c r="E239">
        <v>1</v>
      </c>
      <c r="F239">
        <v>2177</v>
      </c>
      <c r="G239">
        <v>1050603</v>
      </c>
      <c r="H239">
        <v>1005058</v>
      </c>
      <c r="I239" s="2">
        <v>45619</v>
      </c>
      <c r="J239" s="2">
        <v>45677</v>
      </c>
      <c r="K239">
        <v>58</v>
      </c>
      <c r="L239" s="1" t="s">
        <v>53</v>
      </c>
      <c r="M239" s="1" t="s">
        <v>28</v>
      </c>
      <c r="N239">
        <v>0.05</v>
      </c>
      <c r="O239">
        <v>50252.9</v>
      </c>
      <c r="P239">
        <v>-45545</v>
      </c>
      <c r="Q239" t="str">
        <f>IF(tbl_sales3[[#This Row],[Sale_Price]]&lt;500000,"Budget",
IF(tbl_sales3[[#This Row],[Sale_Price]]&lt;1000000,"Mid-Range",
"Luxury"))</f>
        <v>Luxury</v>
      </c>
      <c r="R239" s="4">
        <f>IFERROR(tbl_sales3[[#This Row],[Sale_Price]]*tbl_sales3[[#This Row],[Commission_Rate]],0)</f>
        <v>50252.9</v>
      </c>
      <c r="S239" t="str">
        <f>IF(ABS(tbl_sales3[[#This Row],[Commission_Earned]]-tbl_sales3[[#This Row],[Calculated_Commission]])&lt;0.02,"Correct","Mismatch")</f>
        <v>Correct</v>
      </c>
      <c r="T239">
        <f>YEAR(tbl_sales3[[#This Row],[Sale_Date]])</f>
        <v>2025</v>
      </c>
      <c r="U239" s="1" t="str">
        <f>TEXT(tbl_sales3[[#This Row],[Sale_Date]],"mmmm")</f>
        <v>January</v>
      </c>
      <c r="V239" s="2">
        <f>EOMONTH(tbl_sales3[[#This Row],[Sale_Date]],0)</f>
        <v>45688</v>
      </c>
      <c r="W239" s="1" t="str">
        <f>IF(AND(tbl_sales3[[#This Row],[Sale_Price]]&gt;1000000,tbl_sales3[[#This Row],[Days_on_Market]]&lt;30),"High Demand","Normal")</f>
        <v>Normal</v>
      </c>
    </row>
    <row r="240" spans="1:23" x14ac:dyDescent="0.3">
      <c r="A240" s="1" t="s">
        <v>278</v>
      </c>
      <c r="B240" s="1" t="s">
        <v>37</v>
      </c>
      <c r="C240" s="1" t="s">
        <v>38</v>
      </c>
      <c r="D240">
        <v>2</v>
      </c>
      <c r="E240">
        <v>3</v>
      </c>
      <c r="F240">
        <v>685</v>
      </c>
      <c r="G240">
        <v>417101</v>
      </c>
      <c r="H240">
        <v>402420</v>
      </c>
      <c r="I240" s="2">
        <v>45300</v>
      </c>
      <c r="J240" s="2">
        <v>45376</v>
      </c>
      <c r="K240">
        <v>76</v>
      </c>
      <c r="L240" s="1" t="s">
        <v>53</v>
      </c>
      <c r="M240" s="1" t="s">
        <v>24</v>
      </c>
      <c r="N240">
        <v>0.05</v>
      </c>
      <c r="O240">
        <v>20121</v>
      </c>
      <c r="P240">
        <v>-14681</v>
      </c>
      <c r="Q240" t="str">
        <f>IF(tbl_sales3[[#This Row],[Sale_Price]]&lt;500000,"Budget",
IF(tbl_sales3[[#This Row],[Sale_Price]]&lt;1000000,"Mid-Range",
"Luxury"))</f>
        <v>Budget</v>
      </c>
      <c r="R240" s="4">
        <f>IFERROR(tbl_sales3[[#This Row],[Sale_Price]]*tbl_sales3[[#This Row],[Commission_Rate]],0)</f>
        <v>20121</v>
      </c>
      <c r="S240" t="str">
        <f>IF(ABS(tbl_sales3[[#This Row],[Commission_Earned]]-tbl_sales3[[#This Row],[Calculated_Commission]])&lt;0.02,"Correct","Mismatch")</f>
        <v>Correct</v>
      </c>
      <c r="T240">
        <f>YEAR(tbl_sales3[[#This Row],[Sale_Date]])</f>
        <v>2024</v>
      </c>
      <c r="U240" s="1" t="str">
        <f>TEXT(tbl_sales3[[#This Row],[Sale_Date]],"mmmm")</f>
        <v>March</v>
      </c>
      <c r="V240" s="2">
        <f>EOMONTH(tbl_sales3[[#This Row],[Sale_Date]],0)</f>
        <v>45382</v>
      </c>
      <c r="W240" s="1" t="str">
        <f>IF(AND(tbl_sales3[[#This Row],[Sale_Price]]&gt;1000000,tbl_sales3[[#This Row],[Days_on_Market]]&lt;30),"High Demand","Normal")</f>
        <v>Normal</v>
      </c>
    </row>
    <row r="241" spans="1:23" x14ac:dyDescent="0.3">
      <c r="A241" s="1" t="s">
        <v>279</v>
      </c>
      <c r="B241" s="1" t="s">
        <v>26</v>
      </c>
      <c r="C241" s="1" t="s">
        <v>35</v>
      </c>
      <c r="D241">
        <v>5</v>
      </c>
      <c r="E241">
        <v>2</v>
      </c>
      <c r="F241">
        <v>890</v>
      </c>
      <c r="G241">
        <v>655806</v>
      </c>
      <c r="H241">
        <v>636069</v>
      </c>
      <c r="I241" s="2">
        <v>45460</v>
      </c>
      <c r="J241" s="2">
        <v>45491</v>
      </c>
      <c r="K241">
        <v>31</v>
      </c>
      <c r="L241" s="1" t="s">
        <v>27</v>
      </c>
      <c r="M241" s="1" t="s">
        <v>24</v>
      </c>
      <c r="N241">
        <v>0.04</v>
      </c>
      <c r="O241">
        <v>25442.76</v>
      </c>
      <c r="P241">
        <v>-19737</v>
      </c>
      <c r="Q241" t="str">
        <f>IF(tbl_sales3[[#This Row],[Sale_Price]]&lt;500000,"Budget",
IF(tbl_sales3[[#This Row],[Sale_Price]]&lt;1000000,"Mid-Range",
"Luxury"))</f>
        <v>Mid-Range</v>
      </c>
      <c r="R241" s="4">
        <f>IFERROR(tbl_sales3[[#This Row],[Sale_Price]]*tbl_sales3[[#This Row],[Commission_Rate]],0)</f>
        <v>25442.760000000002</v>
      </c>
      <c r="S241" t="str">
        <f>IF(ABS(tbl_sales3[[#This Row],[Commission_Earned]]-tbl_sales3[[#This Row],[Calculated_Commission]])&lt;0.02,"Correct","Mismatch")</f>
        <v>Correct</v>
      </c>
      <c r="T241">
        <f>YEAR(tbl_sales3[[#This Row],[Sale_Date]])</f>
        <v>2024</v>
      </c>
      <c r="U241" s="1" t="str">
        <f>TEXT(tbl_sales3[[#This Row],[Sale_Date]],"mmmm")</f>
        <v>July</v>
      </c>
      <c r="V241" s="2">
        <f>EOMONTH(tbl_sales3[[#This Row],[Sale_Date]],0)</f>
        <v>45504</v>
      </c>
      <c r="W241" s="1" t="str">
        <f>IF(AND(tbl_sales3[[#This Row],[Sale_Price]]&gt;1000000,tbl_sales3[[#This Row],[Days_on_Market]]&lt;30),"High Demand","Normal")</f>
        <v>Normal</v>
      </c>
    </row>
    <row r="242" spans="1:23" x14ac:dyDescent="0.3">
      <c r="A242" s="1" t="s">
        <v>280</v>
      </c>
      <c r="B242" s="1" t="s">
        <v>32</v>
      </c>
      <c r="C242" s="1" t="s">
        <v>18</v>
      </c>
      <c r="D242">
        <v>3</v>
      </c>
      <c r="E242">
        <v>1</v>
      </c>
      <c r="F242">
        <v>605</v>
      </c>
      <c r="G242">
        <v>1195831</v>
      </c>
      <c r="H242">
        <v>1158235</v>
      </c>
      <c r="I242" s="2">
        <v>45205</v>
      </c>
      <c r="J242" s="2">
        <v>45229</v>
      </c>
      <c r="K242">
        <v>24</v>
      </c>
      <c r="L242" s="1" t="s">
        <v>44</v>
      </c>
      <c r="M242" s="1" t="s">
        <v>24</v>
      </c>
      <c r="N242">
        <v>0.05</v>
      </c>
      <c r="O242">
        <v>57911.75</v>
      </c>
      <c r="P242">
        <v>-37596</v>
      </c>
      <c r="Q242" t="str">
        <f>IF(tbl_sales3[[#This Row],[Sale_Price]]&lt;500000,"Budget",
IF(tbl_sales3[[#This Row],[Sale_Price]]&lt;1000000,"Mid-Range",
"Luxury"))</f>
        <v>Luxury</v>
      </c>
      <c r="R242" s="4">
        <f>IFERROR(tbl_sales3[[#This Row],[Sale_Price]]*tbl_sales3[[#This Row],[Commission_Rate]],0)</f>
        <v>57911.75</v>
      </c>
      <c r="S242" t="str">
        <f>IF(ABS(tbl_sales3[[#This Row],[Commission_Earned]]-tbl_sales3[[#This Row],[Calculated_Commission]])&lt;0.02,"Correct","Mismatch")</f>
        <v>Correct</v>
      </c>
      <c r="T242">
        <f>YEAR(tbl_sales3[[#This Row],[Sale_Date]])</f>
        <v>2023</v>
      </c>
      <c r="U242" s="1" t="str">
        <f>TEXT(tbl_sales3[[#This Row],[Sale_Date]],"mmmm")</f>
        <v>October</v>
      </c>
      <c r="V242" s="2">
        <f>EOMONTH(tbl_sales3[[#This Row],[Sale_Date]],0)</f>
        <v>45230</v>
      </c>
      <c r="W242" s="1" t="str">
        <f>IF(AND(tbl_sales3[[#This Row],[Sale_Price]]&gt;1000000,tbl_sales3[[#This Row],[Days_on_Market]]&lt;30),"High Demand","Normal")</f>
        <v>High Demand</v>
      </c>
    </row>
    <row r="243" spans="1:23" x14ac:dyDescent="0.3">
      <c r="A243" s="1" t="s">
        <v>281</v>
      </c>
      <c r="B243" s="1" t="s">
        <v>41</v>
      </c>
      <c r="C243" s="1" t="s">
        <v>35</v>
      </c>
      <c r="D243">
        <v>1</v>
      </c>
      <c r="E243">
        <v>4</v>
      </c>
      <c r="F243">
        <v>1486</v>
      </c>
      <c r="G243">
        <v>388956</v>
      </c>
      <c r="H243">
        <v>321085</v>
      </c>
      <c r="I243" s="2">
        <v>45256</v>
      </c>
      <c r="J243" s="2">
        <v>45267</v>
      </c>
      <c r="K243">
        <v>11</v>
      </c>
      <c r="L243" s="1" t="s">
        <v>44</v>
      </c>
      <c r="M243" s="1" t="s">
        <v>20</v>
      </c>
      <c r="N243">
        <v>4.4999999999999998E-2</v>
      </c>
      <c r="O243">
        <v>14448.82</v>
      </c>
      <c r="P243">
        <v>-67871</v>
      </c>
      <c r="Q243" t="str">
        <f>IF(tbl_sales3[[#This Row],[Sale_Price]]&lt;500000,"Budget",
IF(tbl_sales3[[#This Row],[Sale_Price]]&lt;1000000,"Mid-Range",
"Luxury"))</f>
        <v>Budget</v>
      </c>
      <c r="R243" s="4">
        <f>IFERROR(tbl_sales3[[#This Row],[Sale_Price]]*tbl_sales3[[#This Row],[Commission_Rate]],0)</f>
        <v>14448.824999999999</v>
      </c>
      <c r="S243" t="str">
        <f>IF(ABS(tbl_sales3[[#This Row],[Commission_Earned]]-tbl_sales3[[#This Row],[Calculated_Commission]])&lt;0.02,"Correct","Mismatch")</f>
        <v>Correct</v>
      </c>
      <c r="T243">
        <f>YEAR(tbl_sales3[[#This Row],[Sale_Date]])</f>
        <v>2023</v>
      </c>
      <c r="U243" s="1" t="str">
        <f>TEXT(tbl_sales3[[#This Row],[Sale_Date]],"mmmm")</f>
        <v>December</v>
      </c>
      <c r="V243" s="2">
        <f>EOMONTH(tbl_sales3[[#This Row],[Sale_Date]],0)</f>
        <v>45291</v>
      </c>
      <c r="W243" s="1" t="str">
        <f>IF(AND(tbl_sales3[[#This Row],[Sale_Price]]&gt;1000000,tbl_sales3[[#This Row],[Days_on_Market]]&lt;30),"High Demand","Normal")</f>
        <v>Normal</v>
      </c>
    </row>
    <row r="244" spans="1:23" x14ac:dyDescent="0.3">
      <c r="A244" s="1" t="s">
        <v>282</v>
      </c>
      <c r="B244" s="1" t="s">
        <v>17</v>
      </c>
      <c r="C244" s="1" t="s">
        <v>23</v>
      </c>
      <c r="D244">
        <v>2</v>
      </c>
      <c r="E244">
        <v>2</v>
      </c>
      <c r="F244">
        <v>505</v>
      </c>
      <c r="G244">
        <v>1056270</v>
      </c>
      <c r="H244">
        <v>983647</v>
      </c>
      <c r="I244" s="2">
        <v>45577</v>
      </c>
      <c r="J244" s="2">
        <v>45655</v>
      </c>
      <c r="K244">
        <v>78</v>
      </c>
      <c r="L244" s="1" t="s">
        <v>44</v>
      </c>
      <c r="M244" s="1" t="s">
        <v>24</v>
      </c>
      <c r="N244">
        <v>4.4999999999999998E-2</v>
      </c>
      <c r="O244">
        <v>44264.11</v>
      </c>
      <c r="P244">
        <v>-72623</v>
      </c>
      <c r="Q244" t="str">
        <f>IF(tbl_sales3[[#This Row],[Sale_Price]]&lt;500000,"Budget",
IF(tbl_sales3[[#This Row],[Sale_Price]]&lt;1000000,"Mid-Range",
"Luxury"))</f>
        <v>Mid-Range</v>
      </c>
      <c r="R244" s="4">
        <f>IFERROR(tbl_sales3[[#This Row],[Sale_Price]]*tbl_sales3[[#This Row],[Commission_Rate]],0)</f>
        <v>44264.114999999998</v>
      </c>
      <c r="S244" t="str">
        <f>IF(ABS(tbl_sales3[[#This Row],[Commission_Earned]]-tbl_sales3[[#This Row],[Calculated_Commission]])&lt;0.02,"Correct","Mismatch")</f>
        <v>Correct</v>
      </c>
      <c r="T244">
        <f>YEAR(tbl_sales3[[#This Row],[Sale_Date]])</f>
        <v>2024</v>
      </c>
      <c r="U244" s="1" t="str">
        <f>TEXT(tbl_sales3[[#This Row],[Sale_Date]],"mmmm")</f>
        <v>December</v>
      </c>
      <c r="V244" s="2">
        <f>EOMONTH(tbl_sales3[[#This Row],[Sale_Date]],0)</f>
        <v>45657</v>
      </c>
      <c r="W244" s="1" t="str">
        <f>IF(AND(tbl_sales3[[#This Row],[Sale_Price]]&gt;1000000,tbl_sales3[[#This Row],[Days_on_Market]]&lt;30),"High Demand","Normal")</f>
        <v>Normal</v>
      </c>
    </row>
    <row r="245" spans="1:23" x14ac:dyDescent="0.3">
      <c r="A245" s="1" t="s">
        <v>283</v>
      </c>
      <c r="B245" s="1" t="s">
        <v>17</v>
      </c>
      <c r="C245" s="1" t="s">
        <v>23</v>
      </c>
      <c r="D245">
        <v>1</v>
      </c>
      <c r="E245">
        <v>4</v>
      </c>
      <c r="F245">
        <v>693</v>
      </c>
      <c r="G245">
        <v>1021812</v>
      </c>
      <c r="H245">
        <v>1011772</v>
      </c>
      <c r="I245" s="2">
        <v>45022</v>
      </c>
      <c r="J245" s="2">
        <v>45087</v>
      </c>
      <c r="K245">
        <v>65</v>
      </c>
      <c r="L245" s="1" t="s">
        <v>39</v>
      </c>
      <c r="M245" s="1" t="s">
        <v>28</v>
      </c>
      <c r="N245">
        <v>0.05</v>
      </c>
      <c r="O245">
        <v>50588.6</v>
      </c>
      <c r="P245">
        <v>-10040</v>
      </c>
      <c r="Q245" t="str">
        <f>IF(tbl_sales3[[#This Row],[Sale_Price]]&lt;500000,"Budget",
IF(tbl_sales3[[#This Row],[Sale_Price]]&lt;1000000,"Mid-Range",
"Luxury"))</f>
        <v>Luxury</v>
      </c>
      <c r="R245" s="4">
        <f>IFERROR(tbl_sales3[[#This Row],[Sale_Price]]*tbl_sales3[[#This Row],[Commission_Rate]],0)</f>
        <v>50588.600000000006</v>
      </c>
      <c r="S245" t="str">
        <f>IF(ABS(tbl_sales3[[#This Row],[Commission_Earned]]-tbl_sales3[[#This Row],[Calculated_Commission]])&lt;0.02,"Correct","Mismatch")</f>
        <v>Correct</v>
      </c>
      <c r="T245">
        <f>YEAR(tbl_sales3[[#This Row],[Sale_Date]])</f>
        <v>2023</v>
      </c>
      <c r="U245" s="1" t="str">
        <f>TEXT(tbl_sales3[[#This Row],[Sale_Date]],"mmmm")</f>
        <v>June</v>
      </c>
      <c r="V245" s="2">
        <f>EOMONTH(tbl_sales3[[#This Row],[Sale_Date]],0)</f>
        <v>45107</v>
      </c>
      <c r="W245" s="1" t="str">
        <f>IF(AND(tbl_sales3[[#This Row],[Sale_Price]]&gt;1000000,tbl_sales3[[#This Row],[Days_on_Market]]&lt;30),"High Demand","Normal")</f>
        <v>Normal</v>
      </c>
    </row>
    <row r="246" spans="1:23" x14ac:dyDescent="0.3">
      <c r="A246" s="1" t="s">
        <v>284</v>
      </c>
      <c r="B246" s="1" t="s">
        <v>48</v>
      </c>
      <c r="C246" s="1" t="s">
        <v>38</v>
      </c>
      <c r="D246">
        <v>1</v>
      </c>
      <c r="E246">
        <v>4</v>
      </c>
      <c r="F246">
        <v>2034</v>
      </c>
      <c r="G246">
        <v>1610267</v>
      </c>
      <c r="H246">
        <v>1590807</v>
      </c>
      <c r="I246" s="2">
        <v>45228</v>
      </c>
      <c r="J246" s="2">
        <v>45318</v>
      </c>
      <c r="K246">
        <v>90</v>
      </c>
      <c r="L246" s="1" t="s">
        <v>53</v>
      </c>
      <c r="M246" s="1" t="s">
        <v>28</v>
      </c>
      <c r="N246">
        <v>0.05</v>
      </c>
      <c r="O246">
        <v>79540.350000000006</v>
      </c>
      <c r="P246">
        <v>-19460</v>
      </c>
      <c r="Q246" t="str">
        <f>IF(tbl_sales3[[#This Row],[Sale_Price]]&lt;500000,"Budget",
IF(tbl_sales3[[#This Row],[Sale_Price]]&lt;1000000,"Mid-Range",
"Luxury"))</f>
        <v>Luxury</v>
      </c>
      <c r="R246" s="4">
        <f>IFERROR(tbl_sales3[[#This Row],[Sale_Price]]*tbl_sales3[[#This Row],[Commission_Rate]],0)</f>
        <v>79540.350000000006</v>
      </c>
      <c r="S246" t="str">
        <f>IF(ABS(tbl_sales3[[#This Row],[Commission_Earned]]-tbl_sales3[[#This Row],[Calculated_Commission]])&lt;0.02,"Correct","Mismatch")</f>
        <v>Correct</v>
      </c>
      <c r="T246">
        <f>YEAR(tbl_sales3[[#This Row],[Sale_Date]])</f>
        <v>2024</v>
      </c>
      <c r="U246" s="1" t="str">
        <f>TEXT(tbl_sales3[[#This Row],[Sale_Date]],"mmmm")</f>
        <v>January</v>
      </c>
      <c r="V246" s="2">
        <f>EOMONTH(tbl_sales3[[#This Row],[Sale_Date]],0)</f>
        <v>45322</v>
      </c>
      <c r="W246" s="1" t="str">
        <f>IF(AND(tbl_sales3[[#This Row],[Sale_Price]]&gt;1000000,tbl_sales3[[#This Row],[Days_on_Market]]&lt;30),"High Demand","Normal")</f>
        <v>Normal</v>
      </c>
    </row>
    <row r="247" spans="1:23" x14ac:dyDescent="0.3">
      <c r="A247" s="1" t="s">
        <v>285</v>
      </c>
      <c r="B247" s="1" t="s">
        <v>17</v>
      </c>
      <c r="C247" s="1" t="s">
        <v>18</v>
      </c>
      <c r="D247">
        <v>5</v>
      </c>
      <c r="E247">
        <v>1</v>
      </c>
      <c r="F247">
        <v>1347</v>
      </c>
      <c r="G247">
        <v>1511008</v>
      </c>
      <c r="H247">
        <v>1504515</v>
      </c>
      <c r="I247" s="2">
        <v>44938</v>
      </c>
      <c r="J247" s="2">
        <v>44998</v>
      </c>
      <c r="K247">
        <v>60</v>
      </c>
      <c r="L247" s="1" t="s">
        <v>51</v>
      </c>
      <c r="M247" s="1" t="s">
        <v>20</v>
      </c>
      <c r="N247">
        <v>4.4999999999999998E-2</v>
      </c>
      <c r="O247">
        <v>67703.179999999993</v>
      </c>
      <c r="P247">
        <v>-6493</v>
      </c>
      <c r="Q247" t="str">
        <f>IF(tbl_sales3[[#This Row],[Sale_Price]]&lt;500000,"Budget",
IF(tbl_sales3[[#This Row],[Sale_Price]]&lt;1000000,"Mid-Range",
"Luxury"))</f>
        <v>Luxury</v>
      </c>
      <c r="R247" s="4">
        <f>IFERROR(tbl_sales3[[#This Row],[Sale_Price]]*tbl_sales3[[#This Row],[Commission_Rate]],0)</f>
        <v>67703.175000000003</v>
      </c>
      <c r="S247" t="str">
        <f>IF(ABS(tbl_sales3[[#This Row],[Commission_Earned]]-tbl_sales3[[#This Row],[Calculated_Commission]])&lt;0.02,"Correct","Mismatch")</f>
        <v>Correct</v>
      </c>
      <c r="T247">
        <f>YEAR(tbl_sales3[[#This Row],[Sale_Date]])</f>
        <v>2023</v>
      </c>
      <c r="U247" s="1" t="str">
        <f>TEXT(tbl_sales3[[#This Row],[Sale_Date]],"mmmm")</f>
        <v>March</v>
      </c>
      <c r="V247" s="2">
        <f>EOMONTH(tbl_sales3[[#This Row],[Sale_Date]],0)</f>
        <v>45016</v>
      </c>
      <c r="W247" s="1" t="str">
        <f>IF(AND(tbl_sales3[[#This Row],[Sale_Price]]&gt;1000000,tbl_sales3[[#This Row],[Days_on_Market]]&lt;30),"High Demand","Normal")</f>
        <v>Normal</v>
      </c>
    </row>
    <row r="248" spans="1:23" x14ac:dyDescent="0.3">
      <c r="A248" s="1" t="s">
        <v>286</v>
      </c>
      <c r="B248" s="1" t="s">
        <v>59</v>
      </c>
      <c r="C248" s="1" t="s">
        <v>35</v>
      </c>
      <c r="D248">
        <v>2</v>
      </c>
      <c r="E248">
        <v>2</v>
      </c>
      <c r="F248">
        <v>2501</v>
      </c>
      <c r="G248">
        <v>1730192</v>
      </c>
      <c r="H248">
        <v>1689557</v>
      </c>
      <c r="I248" s="2">
        <v>45554</v>
      </c>
      <c r="J248" s="2">
        <v>45618</v>
      </c>
      <c r="K248">
        <v>64</v>
      </c>
      <c r="L248" s="1" t="s">
        <v>42</v>
      </c>
      <c r="M248" s="1" t="s">
        <v>24</v>
      </c>
      <c r="N248">
        <v>0.04</v>
      </c>
      <c r="O248">
        <v>67582.28</v>
      </c>
      <c r="P248">
        <v>-40635</v>
      </c>
      <c r="Q248" t="str">
        <f>IF(tbl_sales3[[#This Row],[Sale_Price]]&lt;500000,"Budget",
IF(tbl_sales3[[#This Row],[Sale_Price]]&lt;1000000,"Mid-Range",
"Luxury"))</f>
        <v>Luxury</v>
      </c>
      <c r="R248" s="4">
        <f>IFERROR(tbl_sales3[[#This Row],[Sale_Price]]*tbl_sales3[[#This Row],[Commission_Rate]],0)</f>
        <v>67582.28</v>
      </c>
      <c r="S248" t="str">
        <f>IF(ABS(tbl_sales3[[#This Row],[Commission_Earned]]-tbl_sales3[[#This Row],[Calculated_Commission]])&lt;0.02,"Correct","Mismatch")</f>
        <v>Correct</v>
      </c>
      <c r="T248">
        <f>YEAR(tbl_sales3[[#This Row],[Sale_Date]])</f>
        <v>2024</v>
      </c>
      <c r="U248" s="1" t="str">
        <f>TEXT(tbl_sales3[[#This Row],[Sale_Date]],"mmmm")</f>
        <v>November</v>
      </c>
      <c r="V248" s="2">
        <f>EOMONTH(tbl_sales3[[#This Row],[Sale_Date]],0)</f>
        <v>45626</v>
      </c>
      <c r="W248" s="1" t="str">
        <f>IF(AND(tbl_sales3[[#This Row],[Sale_Price]]&gt;1000000,tbl_sales3[[#This Row],[Days_on_Market]]&lt;30),"High Demand","Normal")</f>
        <v>Normal</v>
      </c>
    </row>
    <row r="249" spans="1:23" x14ac:dyDescent="0.3">
      <c r="A249" s="1" t="s">
        <v>287</v>
      </c>
      <c r="B249" s="1" t="s">
        <v>48</v>
      </c>
      <c r="C249" s="1" t="s">
        <v>33</v>
      </c>
      <c r="D249">
        <v>3</v>
      </c>
      <c r="E249">
        <v>3</v>
      </c>
      <c r="F249">
        <v>3063</v>
      </c>
      <c r="G249">
        <v>1336248</v>
      </c>
      <c r="H249">
        <v>1332984</v>
      </c>
      <c r="I249" s="2">
        <v>45048</v>
      </c>
      <c r="J249" s="2">
        <v>45095</v>
      </c>
      <c r="K249">
        <v>47</v>
      </c>
      <c r="L249" s="1" t="s">
        <v>19</v>
      </c>
      <c r="M249" s="1" t="s">
        <v>20</v>
      </c>
      <c r="N249">
        <v>4.4999999999999998E-2</v>
      </c>
      <c r="O249">
        <v>59984.28</v>
      </c>
      <c r="P249">
        <v>-3264</v>
      </c>
      <c r="Q249" t="str">
        <f>IF(tbl_sales3[[#This Row],[Sale_Price]]&lt;500000,"Budget",
IF(tbl_sales3[[#This Row],[Sale_Price]]&lt;1000000,"Mid-Range",
"Luxury"))</f>
        <v>Luxury</v>
      </c>
      <c r="R249" s="4">
        <f>IFERROR(tbl_sales3[[#This Row],[Sale_Price]]*tbl_sales3[[#This Row],[Commission_Rate]],0)</f>
        <v>59984.28</v>
      </c>
      <c r="S249" t="str">
        <f>IF(ABS(tbl_sales3[[#This Row],[Commission_Earned]]-tbl_sales3[[#This Row],[Calculated_Commission]])&lt;0.02,"Correct","Mismatch")</f>
        <v>Correct</v>
      </c>
      <c r="T249">
        <f>YEAR(tbl_sales3[[#This Row],[Sale_Date]])</f>
        <v>2023</v>
      </c>
      <c r="U249" s="1" t="str">
        <f>TEXT(tbl_sales3[[#This Row],[Sale_Date]],"mmmm")</f>
        <v>June</v>
      </c>
      <c r="V249" s="2">
        <f>EOMONTH(tbl_sales3[[#This Row],[Sale_Date]],0)</f>
        <v>45107</v>
      </c>
      <c r="W249" s="1" t="str">
        <f>IF(AND(tbl_sales3[[#This Row],[Sale_Price]]&gt;1000000,tbl_sales3[[#This Row],[Days_on_Market]]&lt;30),"High Demand","Normal")</f>
        <v>Normal</v>
      </c>
    </row>
    <row r="250" spans="1:23" x14ac:dyDescent="0.3">
      <c r="A250" s="1" t="s">
        <v>288</v>
      </c>
      <c r="B250" s="1" t="s">
        <v>37</v>
      </c>
      <c r="C250" s="1" t="s">
        <v>18</v>
      </c>
      <c r="D250">
        <v>1</v>
      </c>
      <c r="E250">
        <v>2</v>
      </c>
      <c r="F250">
        <v>3044</v>
      </c>
      <c r="G250">
        <v>1472251</v>
      </c>
      <c r="H250">
        <v>1400889</v>
      </c>
      <c r="I250" s="2">
        <v>45352</v>
      </c>
      <c r="J250" s="2">
        <v>45386</v>
      </c>
      <c r="K250">
        <v>34</v>
      </c>
      <c r="L250" s="1" t="s">
        <v>53</v>
      </c>
      <c r="M250" s="1" t="s">
        <v>28</v>
      </c>
      <c r="N250">
        <v>4.4999999999999998E-2</v>
      </c>
      <c r="O250">
        <v>63040</v>
      </c>
      <c r="P250">
        <v>-71362</v>
      </c>
      <c r="Q250" t="str">
        <f>IF(tbl_sales3[[#This Row],[Sale_Price]]&lt;500000,"Budget",
IF(tbl_sales3[[#This Row],[Sale_Price]]&lt;1000000,"Mid-Range",
"Luxury"))</f>
        <v>Luxury</v>
      </c>
      <c r="R250" s="4">
        <f>IFERROR(tbl_sales3[[#This Row],[Sale_Price]]*tbl_sales3[[#This Row],[Commission_Rate]],0)</f>
        <v>63040.004999999997</v>
      </c>
      <c r="S250" t="str">
        <f>IF(ABS(tbl_sales3[[#This Row],[Commission_Earned]]-tbl_sales3[[#This Row],[Calculated_Commission]])&lt;0.02,"Correct","Mismatch")</f>
        <v>Correct</v>
      </c>
      <c r="T250">
        <f>YEAR(tbl_sales3[[#This Row],[Sale_Date]])</f>
        <v>2024</v>
      </c>
      <c r="U250" s="1" t="str">
        <f>TEXT(tbl_sales3[[#This Row],[Sale_Date]],"mmmm")</f>
        <v>April</v>
      </c>
      <c r="V250" s="2">
        <f>EOMONTH(tbl_sales3[[#This Row],[Sale_Date]],0)</f>
        <v>45412</v>
      </c>
      <c r="W250" s="1" t="str">
        <f>IF(AND(tbl_sales3[[#This Row],[Sale_Price]]&gt;1000000,tbl_sales3[[#This Row],[Days_on_Market]]&lt;30),"High Demand","Normal")</f>
        <v>Normal</v>
      </c>
    </row>
    <row r="251" spans="1:23" x14ac:dyDescent="0.3">
      <c r="A251" s="1" t="s">
        <v>289</v>
      </c>
      <c r="B251" s="1" t="s">
        <v>22</v>
      </c>
      <c r="C251" s="1" t="s">
        <v>23</v>
      </c>
      <c r="D251">
        <v>3</v>
      </c>
      <c r="E251">
        <v>4</v>
      </c>
      <c r="F251">
        <v>3491</v>
      </c>
      <c r="G251">
        <v>666241</v>
      </c>
      <c r="H251">
        <v>616964</v>
      </c>
      <c r="I251" s="2">
        <v>45599</v>
      </c>
      <c r="J251" s="2">
        <v>45632</v>
      </c>
      <c r="K251">
        <v>33</v>
      </c>
      <c r="L251" s="1" t="s">
        <v>30</v>
      </c>
      <c r="M251" s="1" t="s">
        <v>28</v>
      </c>
      <c r="N251">
        <v>0.04</v>
      </c>
      <c r="O251">
        <v>24678.560000000001</v>
      </c>
      <c r="P251">
        <v>-49277</v>
      </c>
      <c r="Q251" t="str">
        <f>IF(tbl_sales3[[#This Row],[Sale_Price]]&lt;500000,"Budget",
IF(tbl_sales3[[#This Row],[Sale_Price]]&lt;1000000,"Mid-Range",
"Luxury"))</f>
        <v>Mid-Range</v>
      </c>
      <c r="R251" s="4">
        <f>IFERROR(tbl_sales3[[#This Row],[Sale_Price]]*tbl_sales3[[#This Row],[Commission_Rate]],0)</f>
        <v>24678.560000000001</v>
      </c>
      <c r="S251" t="str">
        <f>IF(ABS(tbl_sales3[[#This Row],[Commission_Earned]]-tbl_sales3[[#This Row],[Calculated_Commission]])&lt;0.02,"Correct","Mismatch")</f>
        <v>Correct</v>
      </c>
      <c r="T251">
        <f>YEAR(tbl_sales3[[#This Row],[Sale_Date]])</f>
        <v>2024</v>
      </c>
      <c r="U251" s="1" t="str">
        <f>TEXT(tbl_sales3[[#This Row],[Sale_Date]],"mmmm")</f>
        <v>December</v>
      </c>
      <c r="V251" s="2">
        <f>EOMONTH(tbl_sales3[[#This Row],[Sale_Date]],0)</f>
        <v>45657</v>
      </c>
      <c r="W251" s="1" t="str">
        <f>IF(AND(tbl_sales3[[#This Row],[Sale_Price]]&gt;1000000,tbl_sales3[[#This Row],[Days_on_Market]]&lt;30),"High Demand","Normal")</f>
        <v>Normal</v>
      </c>
    </row>
    <row r="252" spans="1:23" x14ac:dyDescent="0.3">
      <c r="A252" s="1" t="s">
        <v>290</v>
      </c>
      <c r="B252" s="1" t="s">
        <v>26</v>
      </c>
      <c r="C252" s="1" t="s">
        <v>33</v>
      </c>
      <c r="D252">
        <v>5</v>
      </c>
      <c r="E252">
        <v>2</v>
      </c>
      <c r="F252">
        <v>811</v>
      </c>
      <c r="G252">
        <v>1292512</v>
      </c>
      <c r="H252">
        <v>1282683</v>
      </c>
      <c r="I252" s="2">
        <v>45492</v>
      </c>
      <c r="J252" s="2">
        <v>45577</v>
      </c>
      <c r="K252">
        <v>85</v>
      </c>
      <c r="L252" s="1" t="s">
        <v>19</v>
      </c>
      <c r="M252" s="1" t="s">
        <v>20</v>
      </c>
      <c r="N252">
        <v>0.05</v>
      </c>
      <c r="O252">
        <v>64134.15</v>
      </c>
      <c r="P252">
        <v>-9829</v>
      </c>
      <c r="Q252" t="str">
        <f>IF(tbl_sales3[[#This Row],[Sale_Price]]&lt;500000,"Budget",
IF(tbl_sales3[[#This Row],[Sale_Price]]&lt;1000000,"Mid-Range",
"Luxury"))</f>
        <v>Luxury</v>
      </c>
      <c r="R252" s="4">
        <f>IFERROR(tbl_sales3[[#This Row],[Sale_Price]]*tbl_sales3[[#This Row],[Commission_Rate]],0)</f>
        <v>64134.15</v>
      </c>
      <c r="S252" t="str">
        <f>IF(ABS(tbl_sales3[[#This Row],[Commission_Earned]]-tbl_sales3[[#This Row],[Calculated_Commission]])&lt;0.02,"Correct","Mismatch")</f>
        <v>Correct</v>
      </c>
      <c r="T252">
        <f>YEAR(tbl_sales3[[#This Row],[Sale_Date]])</f>
        <v>2024</v>
      </c>
      <c r="U252" s="1" t="str">
        <f>TEXT(tbl_sales3[[#This Row],[Sale_Date]],"mmmm")</f>
        <v>October</v>
      </c>
      <c r="V252" s="2">
        <f>EOMONTH(tbl_sales3[[#This Row],[Sale_Date]],0)</f>
        <v>45596</v>
      </c>
      <c r="W252" s="1" t="str">
        <f>IF(AND(tbl_sales3[[#This Row],[Sale_Price]]&gt;1000000,tbl_sales3[[#This Row],[Days_on_Market]]&lt;30),"High Demand","Normal")</f>
        <v>Normal</v>
      </c>
    </row>
    <row r="253" spans="1:23" x14ac:dyDescent="0.3">
      <c r="A253" s="1" t="s">
        <v>291</v>
      </c>
      <c r="B253" s="1" t="s">
        <v>48</v>
      </c>
      <c r="C253" s="1" t="s">
        <v>35</v>
      </c>
      <c r="D253">
        <v>2</v>
      </c>
      <c r="E253">
        <v>4</v>
      </c>
      <c r="F253">
        <v>661</v>
      </c>
      <c r="G253">
        <v>942839</v>
      </c>
      <c r="H253">
        <v>932185</v>
      </c>
      <c r="I253" s="2">
        <v>45192</v>
      </c>
      <c r="J253" s="2">
        <v>45233</v>
      </c>
      <c r="K253">
        <v>41</v>
      </c>
      <c r="L253" s="1" t="s">
        <v>53</v>
      </c>
      <c r="M253" s="1" t="s">
        <v>20</v>
      </c>
      <c r="N253">
        <v>0.04</v>
      </c>
      <c r="O253">
        <v>37287.4</v>
      </c>
      <c r="P253">
        <v>-10654</v>
      </c>
      <c r="Q253" t="str">
        <f>IF(tbl_sales3[[#This Row],[Sale_Price]]&lt;500000,"Budget",
IF(tbl_sales3[[#This Row],[Sale_Price]]&lt;1000000,"Mid-Range",
"Luxury"))</f>
        <v>Mid-Range</v>
      </c>
      <c r="R253" s="4">
        <f>IFERROR(tbl_sales3[[#This Row],[Sale_Price]]*tbl_sales3[[#This Row],[Commission_Rate]],0)</f>
        <v>37287.4</v>
      </c>
      <c r="S253" t="str">
        <f>IF(ABS(tbl_sales3[[#This Row],[Commission_Earned]]-tbl_sales3[[#This Row],[Calculated_Commission]])&lt;0.02,"Correct","Mismatch")</f>
        <v>Correct</v>
      </c>
      <c r="T253">
        <f>YEAR(tbl_sales3[[#This Row],[Sale_Date]])</f>
        <v>2023</v>
      </c>
      <c r="U253" s="1" t="str">
        <f>TEXT(tbl_sales3[[#This Row],[Sale_Date]],"mmmm")</f>
        <v>November</v>
      </c>
      <c r="V253" s="2">
        <f>EOMONTH(tbl_sales3[[#This Row],[Sale_Date]],0)</f>
        <v>45260</v>
      </c>
      <c r="W253" s="1" t="str">
        <f>IF(AND(tbl_sales3[[#This Row],[Sale_Price]]&gt;1000000,tbl_sales3[[#This Row],[Days_on_Market]]&lt;30),"High Demand","Normal")</f>
        <v>Normal</v>
      </c>
    </row>
    <row r="254" spans="1:23" x14ac:dyDescent="0.3">
      <c r="A254" s="1" t="s">
        <v>292</v>
      </c>
      <c r="B254" s="1" t="s">
        <v>32</v>
      </c>
      <c r="C254" s="1" t="s">
        <v>38</v>
      </c>
      <c r="D254">
        <v>2</v>
      </c>
      <c r="E254">
        <v>2</v>
      </c>
      <c r="F254">
        <v>2924</v>
      </c>
      <c r="G254">
        <v>1797921</v>
      </c>
      <c r="H254">
        <v>1767158</v>
      </c>
      <c r="I254" s="2">
        <v>45002</v>
      </c>
      <c r="J254" s="2">
        <v>45041</v>
      </c>
      <c r="K254">
        <v>39</v>
      </c>
      <c r="L254" s="1" t="s">
        <v>19</v>
      </c>
      <c r="M254" s="1" t="s">
        <v>20</v>
      </c>
      <c r="N254">
        <v>0.05</v>
      </c>
      <c r="O254">
        <v>88357.9</v>
      </c>
      <c r="P254">
        <v>-30763</v>
      </c>
      <c r="Q254" t="str">
        <f>IF(tbl_sales3[[#This Row],[Sale_Price]]&lt;500000,"Budget",
IF(tbl_sales3[[#This Row],[Sale_Price]]&lt;1000000,"Mid-Range",
"Luxury"))</f>
        <v>Luxury</v>
      </c>
      <c r="R254" s="4">
        <f>IFERROR(tbl_sales3[[#This Row],[Sale_Price]]*tbl_sales3[[#This Row],[Commission_Rate]],0)</f>
        <v>88357.900000000009</v>
      </c>
      <c r="S254" t="str">
        <f>IF(ABS(tbl_sales3[[#This Row],[Commission_Earned]]-tbl_sales3[[#This Row],[Calculated_Commission]])&lt;0.02,"Correct","Mismatch")</f>
        <v>Correct</v>
      </c>
      <c r="T254">
        <f>YEAR(tbl_sales3[[#This Row],[Sale_Date]])</f>
        <v>2023</v>
      </c>
      <c r="U254" s="1" t="str">
        <f>TEXT(tbl_sales3[[#This Row],[Sale_Date]],"mmmm")</f>
        <v>April</v>
      </c>
      <c r="V254" s="2">
        <f>EOMONTH(tbl_sales3[[#This Row],[Sale_Date]],0)</f>
        <v>45046</v>
      </c>
      <c r="W254" s="1" t="str">
        <f>IF(AND(tbl_sales3[[#This Row],[Sale_Price]]&gt;1000000,tbl_sales3[[#This Row],[Days_on_Market]]&lt;30),"High Demand","Normal")</f>
        <v>Normal</v>
      </c>
    </row>
    <row r="255" spans="1:23" x14ac:dyDescent="0.3">
      <c r="A255" s="1" t="s">
        <v>293</v>
      </c>
      <c r="B255" s="1" t="s">
        <v>37</v>
      </c>
      <c r="C255" s="1" t="s">
        <v>35</v>
      </c>
      <c r="D255">
        <v>4</v>
      </c>
      <c r="E255">
        <v>1</v>
      </c>
      <c r="F255">
        <v>2105</v>
      </c>
      <c r="G255">
        <v>1448281</v>
      </c>
      <c r="H255">
        <v>1432874</v>
      </c>
      <c r="I255" s="2">
        <v>45003</v>
      </c>
      <c r="J255" s="2">
        <v>45020</v>
      </c>
      <c r="K255">
        <v>17</v>
      </c>
      <c r="L255" s="1" t="s">
        <v>53</v>
      </c>
      <c r="M255" s="1" t="s">
        <v>20</v>
      </c>
      <c r="N255">
        <v>0.04</v>
      </c>
      <c r="O255">
        <v>57314.96</v>
      </c>
      <c r="P255">
        <v>-15407</v>
      </c>
      <c r="Q255" t="str">
        <f>IF(tbl_sales3[[#This Row],[Sale_Price]]&lt;500000,"Budget",
IF(tbl_sales3[[#This Row],[Sale_Price]]&lt;1000000,"Mid-Range",
"Luxury"))</f>
        <v>Luxury</v>
      </c>
      <c r="R255" s="4">
        <f>IFERROR(tbl_sales3[[#This Row],[Sale_Price]]*tbl_sales3[[#This Row],[Commission_Rate]],0)</f>
        <v>57314.96</v>
      </c>
      <c r="S255" t="str">
        <f>IF(ABS(tbl_sales3[[#This Row],[Commission_Earned]]-tbl_sales3[[#This Row],[Calculated_Commission]])&lt;0.02,"Correct","Mismatch")</f>
        <v>Correct</v>
      </c>
      <c r="T255">
        <f>YEAR(tbl_sales3[[#This Row],[Sale_Date]])</f>
        <v>2023</v>
      </c>
      <c r="U255" s="1" t="str">
        <f>TEXT(tbl_sales3[[#This Row],[Sale_Date]],"mmmm")</f>
        <v>April</v>
      </c>
      <c r="V255" s="2">
        <f>EOMONTH(tbl_sales3[[#This Row],[Sale_Date]],0)</f>
        <v>45046</v>
      </c>
      <c r="W255" s="1" t="str">
        <f>IF(AND(tbl_sales3[[#This Row],[Sale_Price]]&gt;1000000,tbl_sales3[[#This Row],[Days_on_Market]]&lt;30),"High Demand","Normal")</f>
        <v>High Demand</v>
      </c>
    </row>
    <row r="256" spans="1:23" x14ac:dyDescent="0.3">
      <c r="A256" s="1" t="s">
        <v>294</v>
      </c>
      <c r="B256" s="1" t="s">
        <v>32</v>
      </c>
      <c r="C256" s="1" t="s">
        <v>38</v>
      </c>
      <c r="D256">
        <v>3</v>
      </c>
      <c r="E256">
        <v>3</v>
      </c>
      <c r="F256">
        <v>1303</v>
      </c>
      <c r="G256">
        <v>772294</v>
      </c>
      <c r="H256">
        <v>727376</v>
      </c>
      <c r="I256" s="2">
        <v>45440</v>
      </c>
      <c r="J256" s="2">
        <v>45478</v>
      </c>
      <c r="K256">
        <v>38</v>
      </c>
      <c r="L256" s="1" t="s">
        <v>51</v>
      </c>
      <c r="M256" s="1" t="s">
        <v>28</v>
      </c>
      <c r="N256">
        <v>0.05</v>
      </c>
      <c r="O256">
        <v>36368.800000000003</v>
      </c>
      <c r="P256">
        <v>-44918</v>
      </c>
      <c r="Q256" t="str">
        <f>IF(tbl_sales3[[#This Row],[Sale_Price]]&lt;500000,"Budget",
IF(tbl_sales3[[#This Row],[Sale_Price]]&lt;1000000,"Mid-Range",
"Luxury"))</f>
        <v>Mid-Range</v>
      </c>
      <c r="R256" s="4">
        <f>IFERROR(tbl_sales3[[#This Row],[Sale_Price]]*tbl_sales3[[#This Row],[Commission_Rate]],0)</f>
        <v>36368.800000000003</v>
      </c>
      <c r="S256" t="str">
        <f>IF(ABS(tbl_sales3[[#This Row],[Commission_Earned]]-tbl_sales3[[#This Row],[Calculated_Commission]])&lt;0.02,"Correct","Mismatch")</f>
        <v>Correct</v>
      </c>
      <c r="T256">
        <f>YEAR(tbl_sales3[[#This Row],[Sale_Date]])</f>
        <v>2024</v>
      </c>
      <c r="U256" s="1" t="str">
        <f>TEXT(tbl_sales3[[#This Row],[Sale_Date]],"mmmm")</f>
        <v>July</v>
      </c>
      <c r="V256" s="2">
        <f>EOMONTH(tbl_sales3[[#This Row],[Sale_Date]],0)</f>
        <v>45504</v>
      </c>
      <c r="W256" s="1" t="str">
        <f>IF(AND(tbl_sales3[[#This Row],[Sale_Price]]&gt;1000000,tbl_sales3[[#This Row],[Days_on_Market]]&lt;30),"High Demand","Normal")</f>
        <v>Normal</v>
      </c>
    </row>
    <row r="257" spans="1:23" x14ac:dyDescent="0.3">
      <c r="A257" s="1" t="s">
        <v>295</v>
      </c>
      <c r="B257" s="1" t="s">
        <v>48</v>
      </c>
      <c r="C257" s="1" t="s">
        <v>33</v>
      </c>
      <c r="D257">
        <v>5</v>
      </c>
      <c r="E257">
        <v>1</v>
      </c>
      <c r="F257">
        <v>1533</v>
      </c>
      <c r="G257">
        <v>372120</v>
      </c>
      <c r="H257">
        <v>316908</v>
      </c>
      <c r="I257" s="2">
        <v>45120</v>
      </c>
      <c r="J257" s="2">
        <v>45209</v>
      </c>
      <c r="K257">
        <v>89</v>
      </c>
      <c r="L257" s="1" t="s">
        <v>42</v>
      </c>
      <c r="M257" s="1" t="s">
        <v>24</v>
      </c>
      <c r="N257">
        <v>4.4999999999999998E-2</v>
      </c>
      <c r="O257">
        <v>14260.86</v>
      </c>
      <c r="P257">
        <v>-55212</v>
      </c>
      <c r="Q257" t="str">
        <f>IF(tbl_sales3[[#This Row],[Sale_Price]]&lt;500000,"Budget",
IF(tbl_sales3[[#This Row],[Sale_Price]]&lt;1000000,"Mid-Range",
"Luxury"))</f>
        <v>Budget</v>
      </c>
      <c r="R257" s="4">
        <f>IFERROR(tbl_sales3[[#This Row],[Sale_Price]]*tbl_sales3[[#This Row],[Commission_Rate]],0)</f>
        <v>14260.859999999999</v>
      </c>
      <c r="S257" t="str">
        <f>IF(ABS(tbl_sales3[[#This Row],[Commission_Earned]]-tbl_sales3[[#This Row],[Calculated_Commission]])&lt;0.02,"Correct","Mismatch")</f>
        <v>Correct</v>
      </c>
      <c r="T257">
        <f>YEAR(tbl_sales3[[#This Row],[Sale_Date]])</f>
        <v>2023</v>
      </c>
      <c r="U257" s="1" t="str">
        <f>TEXT(tbl_sales3[[#This Row],[Sale_Date]],"mmmm")</f>
        <v>October</v>
      </c>
      <c r="V257" s="2">
        <f>EOMONTH(tbl_sales3[[#This Row],[Sale_Date]],0)</f>
        <v>45230</v>
      </c>
      <c r="W257" s="1" t="str">
        <f>IF(AND(tbl_sales3[[#This Row],[Sale_Price]]&gt;1000000,tbl_sales3[[#This Row],[Days_on_Market]]&lt;30),"High Demand","Normal")</f>
        <v>Normal</v>
      </c>
    </row>
    <row r="258" spans="1:23" x14ac:dyDescent="0.3">
      <c r="A258" s="1" t="s">
        <v>296</v>
      </c>
      <c r="B258" s="1" t="s">
        <v>41</v>
      </c>
      <c r="C258" s="1" t="s">
        <v>23</v>
      </c>
      <c r="D258">
        <v>4</v>
      </c>
      <c r="E258">
        <v>4</v>
      </c>
      <c r="F258">
        <v>3409</v>
      </c>
      <c r="G258">
        <v>504505</v>
      </c>
      <c r="H258">
        <v>463431</v>
      </c>
      <c r="I258" s="2">
        <v>45352</v>
      </c>
      <c r="J258" s="2">
        <v>45381</v>
      </c>
      <c r="K258">
        <v>29</v>
      </c>
      <c r="L258" s="1" t="s">
        <v>39</v>
      </c>
      <c r="M258" s="1" t="s">
        <v>20</v>
      </c>
      <c r="N258">
        <v>0.05</v>
      </c>
      <c r="O258">
        <v>23171.55</v>
      </c>
      <c r="P258">
        <v>-41074</v>
      </c>
      <c r="Q258" t="str">
        <f>IF(tbl_sales3[[#This Row],[Sale_Price]]&lt;500000,"Budget",
IF(tbl_sales3[[#This Row],[Sale_Price]]&lt;1000000,"Mid-Range",
"Luxury"))</f>
        <v>Budget</v>
      </c>
      <c r="R258" s="4">
        <f>IFERROR(tbl_sales3[[#This Row],[Sale_Price]]*tbl_sales3[[#This Row],[Commission_Rate]],0)</f>
        <v>23171.550000000003</v>
      </c>
      <c r="S258" t="str">
        <f>IF(ABS(tbl_sales3[[#This Row],[Commission_Earned]]-tbl_sales3[[#This Row],[Calculated_Commission]])&lt;0.02,"Correct","Mismatch")</f>
        <v>Correct</v>
      </c>
      <c r="T258">
        <f>YEAR(tbl_sales3[[#This Row],[Sale_Date]])</f>
        <v>2024</v>
      </c>
      <c r="U258" s="1" t="str">
        <f>TEXT(tbl_sales3[[#This Row],[Sale_Date]],"mmmm")</f>
        <v>March</v>
      </c>
      <c r="V258" s="2">
        <f>EOMONTH(tbl_sales3[[#This Row],[Sale_Date]],0)</f>
        <v>45382</v>
      </c>
      <c r="W258" s="1" t="str">
        <f>IF(AND(tbl_sales3[[#This Row],[Sale_Price]]&gt;1000000,tbl_sales3[[#This Row],[Days_on_Market]]&lt;30),"High Demand","Normal")</f>
        <v>Normal</v>
      </c>
    </row>
    <row r="259" spans="1:23" x14ac:dyDescent="0.3">
      <c r="A259" s="1" t="s">
        <v>297</v>
      </c>
      <c r="B259" s="1" t="s">
        <v>26</v>
      </c>
      <c r="C259" s="1" t="s">
        <v>23</v>
      </c>
      <c r="D259">
        <v>5</v>
      </c>
      <c r="E259">
        <v>1</v>
      </c>
      <c r="F259">
        <v>3366</v>
      </c>
      <c r="G259">
        <v>577756</v>
      </c>
      <c r="H259">
        <v>533688</v>
      </c>
      <c r="I259" s="2">
        <v>45207</v>
      </c>
      <c r="J259" s="2">
        <v>45230</v>
      </c>
      <c r="K259">
        <v>23</v>
      </c>
      <c r="L259" s="1" t="s">
        <v>44</v>
      </c>
      <c r="M259" s="1" t="s">
        <v>20</v>
      </c>
      <c r="N259">
        <v>4.4999999999999998E-2</v>
      </c>
      <c r="O259">
        <v>24015.96</v>
      </c>
      <c r="P259">
        <v>-44068</v>
      </c>
      <c r="Q259" t="str">
        <f>IF(tbl_sales3[[#This Row],[Sale_Price]]&lt;500000,"Budget",
IF(tbl_sales3[[#This Row],[Sale_Price]]&lt;1000000,"Mid-Range",
"Luxury"))</f>
        <v>Mid-Range</v>
      </c>
      <c r="R259" s="4">
        <f>IFERROR(tbl_sales3[[#This Row],[Sale_Price]]*tbl_sales3[[#This Row],[Commission_Rate]],0)</f>
        <v>24015.96</v>
      </c>
      <c r="S259" t="str">
        <f>IF(ABS(tbl_sales3[[#This Row],[Commission_Earned]]-tbl_sales3[[#This Row],[Calculated_Commission]])&lt;0.02,"Correct","Mismatch")</f>
        <v>Correct</v>
      </c>
      <c r="T259">
        <f>YEAR(tbl_sales3[[#This Row],[Sale_Date]])</f>
        <v>2023</v>
      </c>
      <c r="U259" s="1" t="str">
        <f>TEXT(tbl_sales3[[#This Row],[Sale_Date]],"mmmm")</f>
        <v>October</v>
      </c>
      <c r="V259" s="2">
        <f>EOMONTH(tbl_sales3[[#This Row],[Sale_Date]],0)</f>
        <v>45230</v>
      </c>
      <c r="W259" s="1" t="str">
        <f>IF(AND(tbl_sales3[[#This Row],[Sale_Price]]&gt;1000000,tbl_sales3[[#This Row],[Days_on_Market]]&lt;30),"High Demand","Normal")</f>
        <v>Normal</v>
      </c>
    </row>
    <row r="260" spans="1:23" x14ac:dyDescent="0.3">
      <c r="A260" s="1" t="s">
        <v>298</v>
      </c>
      <c r="B260" s="1" t="s">
        <v>48</v>
      </c>
      <c r="C260" s="1" t="s">
        <v>38</v>
      </c>
      <c r="D260">
        <v>4</v>
      </c>
      <c r="E260">
        <v>3</v>
      </c>
      <c r="F260">
        <v>767</v>
      </c>
      <c r="G260">
        <v>1717700</v>
      </c>
      <c r="H260">
        <v>1702013</v>
      </c>
      <c r="I260" s="2">
        <v>45317</v>
      </c>
      <c r="J260" s="2">
        <v>45388</v>
      </c>
      <c r="K260">
        <v>71</v>
      </c>
      <c r="L260" s="1" t="s">
        <v>51</v>
      </c>
      <c r="M260" s="1" t="s">
        <v>20</v>
      </c>
      <c r="N260">
        <v>4.4999999999999998E-2</v>
      </c>
      <c r="O260">
        <v>76590.58</v>
      </c>
      <c r="P260">
        <v>-15687</v>
      </c>
      <c r="Q260" t="str">
        <f>IF(tbl_sales3[[#This Row],[Sale_Price]]&lt;500000,"Budget",
IF(tbl_sales3[[#This Row],[Sale_Price]]&lt;1000000,"Mid-Range",
"Luxury"))</f>
        <v>Luxury</v>
      </c>
      <c r="R260" s="4">
        <f>IFERROR(tbl_sales3[[#This Row],[Sale_Price]]*tbl_sales3[[#This Row],[Commission_Rate]],0)</f>
        <v>76590.584999999992</v>
      </c>
      <c r="S260" t="str">
        <f>IF(ABS(tbl_sales3[[#This Row],[Commission_Earned]]-tbl_sales3[[#This Row],[Calculated_Commission]])&lt;0.02,"Correct","Mismatch")</f>
        <v>Correct</v>
      </c>
      <c r="T260">
        <f>YEAR(tbl_sales3[[#This Row],[Sale_Date]])</f>
        <v>2024</v>
      </c>
      <c r="U260" s="1" t="str">
        <f>TEXT(tbl_sales3[[#This Row],[Sale_Date]],"mmmm")</f>
        <v>April</v>
      </c>
      <c r="V260" s="2">
        <f>EOMONTH(tbl_sales3[[#This Row],[Sale_Date]],0)</f>
        <v>45412</v>
      </c>
      <c r="W260" s="1" t="str">
        <f>IF(AND(tbl_sales3[[#This Row],[Sale_Price]]&gt;1000000,tbl_sales3[[#This Row],[Days_on_Market]]&lt;30),"High Demand","Normal")</f>
        <v>Normal</v>
      </c>
    </row>
    <row r="261" spans="1:23" x14ac:dyDescent="0.3">
      <c r="A261" s="1" t="s">
        <v>299</v>
      </c>
      <c r="B261" s="1" t="s">
        <v>32</v>
      </c>
      <c r="C261" s="1" t="s">
        <v>33</v>
      </c>
      <c r="D261">
        <v>1</v>
      </c>
      <c r="E261">
        <v>2</v>
      </c>
      <c r="F261">
        <v>2950</v>
      </c>
      <c r="G261">
        <v>579488</v>
      </c>
      <c r="H261">
        <v>504795</v>
      </c>
      <c r="I261" s="2">
        <v>45419</v>
      </c>
      <c r="J261" s="2">
        <v>45506</v>
      </c>
      <c r="K261">
        <v>87</v>
      </c>
      <c r="L261" s="1" t="s">
        <v>30</v>
      </c>
      <c r="M261" s="1" t="s">
        <v>20</v>
      </c>
      <c r="N261">
        <v>4.4999999999999998E-2</v>
      </c>
      <c r="O261">
        <v>22715.77</v>
      </c>
      <c r="P261">
        <v>-74693</v>
      </c>
      <c r="Q261" t="str">
        <f>IF(tbl_sales3[[#This Row],[Sale_Price]]&lt;500000,"Budget",
IF(tbl_sales3[[#This Row],[Sale_Price]]&lt;1000000,"Mid-Range",
"Luxury"))</f>
        <v>Mid-Range</v>
      </c>
      <c r="R261" s="4">
        <f>IFERROR(tbl_sales3[[#This Row],[Sale_Price]]*tbl_sales3[[#This Row],[Commission_Rate]],0)</f>
        <v>22715.774999999998</v>
      </c>
      <c r="S261" t="str">
        <f>IF(ABS(tbl_sales3[[#This Row],[Commission_Earned]]-tbl_sales3[[#This Row],[Calculated_Commission]])&lt;0.02,"Correct","Mismatch")</f>
        <v>Correct</v>
      </c>
      <c r="T261">
        <f>YEAR(tbl_sales3[[#This Row],[Sale_Date]])</f>
        <v>2024</v>
      </c>
      <c r="U261" s="1" t="str">
        <f>TEXT(tbl_sales3[[#This Row],[Sale_Date]],"mmmm")</f>
        <v>August</v>
      </c>
      <c r="V261" s="2">
        <f>EOMONTH(tbl_sales3[[#This Row],[Sale_Date]],0)</f>
        <v>45535</v>
      </c>
      <c r="W261" s="1" t="str">
        <f>IF(AND(tbl_sales3[[#This Row],[Sale_Price]]&gt;1000000,tbl_sales3[[#This Row],[Days_on_Market]]&lt;30),"High Demand","Normal")</f>
        <v>Normal</v>
      </c>
    </row>
    <row r="262" spans="1:23" x14ac:dyDescent="0.3">
      <c r="A262" s="1" t="s">
        <v>300</v>
      </c>
      <c r="B262" s="1" t="s">
        <v>26</v>
      </c>
      <c r="C262" s="1" t="s">
        <v>33</v>
      </c>
      <c r="D262">
        <v>1</v>
      </c>
      <c r="E262">
        <v>2</v>
      </c>
      <c r="F262">
        <v>1883</v>
      </c>
      <c r="G262">
        <v>1298345</v>
      </c>
      <c r="H262">
        <v>1235429</v>
      </c>
      <c r="I262" s="2">
        <v>44930</v>
      </c>
      <c r="J262" s="2">
        <v>44944</v>
      </c>
      <c r="K262">
        <v>14</v>
      </c>
      <c r="L262" s="1" t="s">
        <v>30</v>
      </c>
      <c r="M262" s="1" t="s">
        <v>24</v>
      </c>
      <c r="N262">
        <v>4.4999999999999998E-2</v>
      </c>
      <c r="O262">
        <v>55594.31</v>
      </c>
      <c r="P262">
        <v>-62916</v>
      </c>
      <c r="Q262" t="str">
        <f>IF(tbl_sales3[[#This Row],[Sale_Price]]&lt;500000,"Budget",
IF(tbl_sales3[[#This Row],[Sale_Price]]&lt;1000000,"Mid-Range",
"Luxury"))</f>
        <v>Luxury</v>
      </c>
      <c r="R262" s="4">
        <f>IFERROR(tbl_sales3[[#This Row],[Sale_Price]]*tbl_sales3[[#This Row],[Commission_Rate]],0)</f>
        <v>55594.305</v>
      </c>
      <c r="S262" t="str">
        <f>IF(ABS(tbl_sales3[[#This Row],[Commission_Earned]]-tbl_sales3[[#This Row],[Calculated_Commission]])&lt;0.02,"Correct","Mismatch")</f>
        <v>Correct</v>
      </c>
      <c r="T262">
        <f>YEAR(tbl_sales3[[#This Row],[Sale_Date]])</f>
        <v>2023</v>
      </c>
      <c r="U262" s="1" t="str">
        <f>TEXT(tbl_sales3[[#This Row],[Sale_Date]],"mmmm")</f>
        <v>January</v>
      </c>
      <c r="V262" s="2">
        <f>EOMONTH(tbl_sales3[[#This Row],[Sale_Date]],0)</f>
        <v>44957</v>
      </c>
      <c r="W262" s="1" t="str">
        <f>IF(AND(tbl_sales3[[#This Row],[Sale_Price]]&gt;1000000,tbl_sales3[[#This Row],[Days_on_Market]]&lt;30),"High Demand","Normal")</f>
        <v>High Demand</v>
      </c>
    </row>
    <row r="263" spans="1:23" x14ac:dyDescent="0.3">
      <c r="A263" s="1" t="s">
        <v>301</v>
      </c>
      <c r="B263" s="1" t="s">
        <v>17</v>
      </c>
      <c r="C263" s="1" t="s">
        <v>35</v>
      </c>
      <c r="D263">
        <v>1</v>
      </c>
      <c r="E263">
        <v>1</v>
      </c>
      <c r="F263">
        <v>1949</v>
      </c>
      <c r="G263">
        <v>1477508</v>
      </c>
      <c r="H263">
        <v>1452537</v>
      </c>
      <c r="I263" s="2">
        <v>44963</v>
      </c>
      <c r="J263" s="2">
        <v>45004</v>
      </c>
      <c r="K263">
        <v>41</v>
      </c>
      <c r="L263" s="1" t="s">
        <v>42</v>
      </c>
      <c r="M263" s="1" t="s">
        <v>28</v>
      </c>
      <c r="N263">
        <v>0.04</v>
      </c>
      <c r="O263">
        <v>58101.48</v>
      </c>
      <c r="P263">
        <v>-24971</v>
      </c>
      <c r="Q263" t="str">
        <f>IF(tbl_sales3[[#This Row],[Sale_Price]]&lt;500000,"Budget",
IF(tbl_sales3[[#This Row],[Sale_Price]]&lt;1000000,"Mid-Range",
"Luxury"))</f>
        <v>Luxury</v>
      </c>
      <c r="R263" s="4">
        <f>IFERROR(tbl_sales3[[#This Row],[Sale_Price]]*tbl_sales3[[#This Row],[Commission_Rate]],0)</f>
        <v>58101.48</v>
      </c>
      <c r="S263" t="str">
        <f>IF(ABS(tbl_sales3[[#This Row],[Commission_Earned]]-tbl_sales3[[#This Row],[Calculated_Commission]])&lt;0.02,"Correct","Mismatch")</f>
        <v>Correct</v>
      </c>
      <c r="T263">
        <f>YEAR(tbl_sales3[[#This Row],[Sale_Date]])</f>
        <v>2023</v>
      </c>
      <c r="U263" s="1" t="str">
        <f>TEXT(tbl_sales3[[#This Row],[Sale_Date]],"mmmm")</f>
        <v>March</v>
      </c>
      <c r="V263" s="2">
        <f>EOMONTH(tbl_sales3[[#This Row],[Sale_Date]],0)</f>
        <v>45016</v>
      </c>
      <c r="W263" s="1" t="str">
        <f>IF(AND(tbl_sales3[[#This Row],[Sale_Price]]&gt;1000000,tbl_sales3[[#This Row],[Days_on_Market]]&lt;30),"High Demand","Normal")</f>
        <v>Normal</v>
      </c>
    </row>
    <row r="264" spans="1:23" x14ac:dyDescent="0.3">
      <c r="A264" s="1" t="s">
        <v>302</v>
      </c>
      <c r="B264" s="1" t="s">
        <v>32</v>
      </c>
      <c r="C264" s="1" t="s">
        <v>33</v>
      </c>
      <c r="D264">
        <v>4</v>
      </c>
      <c r="E264">
        <v>3</v>
      </c>
      <c r="F264">
        <v>1211</v>
      </c>
      <c r="G264">
        <v>1134865</v>
      </c>
      <c r="H264">
        <v>1087999</v>
      </c>
      <c r="I264" s="2">
        <v>45600</v>
      </c>
      <c r="J264" s="2">
        <v>45644</v>
      </c>
      <c r="K264">
        <v>44</v>
      </c>
      <c r="L264" s="1" t="s">
        <v>19</v>
      </c>
      <c r="M264" s="1" t="s">
        <v>24</v>
      </c>
      <c r="N264">
        <v>0.04</v>
      </c>
      <c r="O264">
        <v>43519.96</v>
      </c>
      <c r="P264">
        <v>-46866</v>
      </c>
      <c r="Q264" t="str">
        <f>IF(tbl_sales3[[#This Row],[Sale_Price]]&lt;500000,"Budget",
IF(tbl_sales3[[#This Row],[Sale_Price]]&lt;1000000,"Mid-Range",
"Luxury"))</f>
        <v>Luxury</v>
      </c>
      <c r="R264" s="4">
        <f>IFERROR(tbl_sales3[[#This Row],[Sale_Price]]*tbl_sales3[[#This Row],[Commission_Rate]],0)</f>
        <v>43519.96</v>
      </c>
      <c r="S264" t="str">
        <f>IF(ABS(tbl_sales3[[#This Row],[Commission_Earned]]-tbl_sales3[[#This Row],[Calculated_Commission]])&lt;0.02,"Correct","Mismatch")</f>
        <v>Correct</v>
      </c>
      <c r="T264">
        <f>YEAR(tbl_sales3[[#This Row],[Sale_Date]])</f>
        <v>2024</v>
      </c>
      <c r="U264" s="1" t="str">
        <f>TEXT(tbl_sales3[[#This Row],[Sale_Date]],"mmmm")</f>
        <v>December</v>
      </c>
      <c r="V264" s="2">
        <f>EOMONTH(tbl_sales3[[#This Row],[Sale_Date]],0)</f>
        <v>45657</v>
      </c>
      <c r="W264" s="1" t="str">
        <f>IF(AND(tbl_sales3[[#This Row],[Sale_Price]]&gt;1000000,tbl_sales3[[#This Row],[Days_on_Market]]&lt;30),"High Demand","Normal")</f>
        <v>Normal</v>
      </c>
    </row>
    <row r="265" spans="1:23" x14ac:dyDescent="0.3">
      <c r="A265" s="1" t="s">
        <v>303</v>
      </c>
      <c r="B265" s="1" t="s">
        <v>41</v>
      </c>
      <c r="C265" s="1" t="s">
        <v>23</v>
      </c>
      <c r="D265">
        <v>4</v>
      </c>
      <c r="E265">
        <v>1</v>
      </c>
      <c r="F265">
        <v>3328</v>
      </c>
      <c r="G265">
        <v>890389</v>
      </c>
      <c r="H265">
        <v>878353</v>
      </c>
      <c r="I265" s="2">
        <v>45589</v>
      </c>
      <c r="J265" s="2">
        <v>45655</v>
      </c>
      <c r="K265">
        <v>66</v>
      </c>
      <c r="L265" s="1" t="s">
        <v>44</v>
      </c>
      <c r="M265" s="1" t="s">
        <v>20</v>
      </c>
      <c r="N265">
        <v>0.04</v>
      </c>
      <c r="O265">
        <v>35134.120000000003</v>
      </c>
      <c r="P265">
        <v>-12036</v>
      </c>
      <c r="Q265" t="str">
        <f>IF(tbl_sales3[[#This Row],[Sale_Price]]&lt;500000,"Budget",
IF(tbl_sales3[[#This Row],[Sale_Price]]&lt;1000000,"Mid-Range",
"Luxury"))</f>
        <v>Mid-Range</v>
      </c>
      <c r="R265" s="4">
        <f>IFERROR(tbl_sales3[[#This Row],[Sale_Price]]*tbl_sales3[[#This Row],[Commission_Rate]],0)</f>
        <v>35134.120000000003</v>
      </c>
      <c r="S265" t="str">
        <f>IF(ABS(tbl_sales3[[#This Row],[Commission_Earned]]-tbl_sales3[[#This Row],[Calculated_Commission]])&lt;0.02,"Correct","Mismatch")</f>
        <v>Correct</v>
      </c>
      <c r="T265">
        <f>YEAR(tbl_sales3[[#This Row],[Sale_Date]])</f>
        <v>2024</v>
      </c>
      <c r="U265" s="1" t="str">
        <f>TEXT(tbl_sales3[[#This Row],[Sale_Date]],"mmmm")</f>
        <v>December</v>
      </c>
      <c r="V265" s="2">
        <f>EOMONTH(tbl_sales3[[#This Row],[Sale_Date]],0)</f>
        <v>45657</v>
      </c>
      <c r="W265" s="1" t="str">
        <f>IF(AND(tbl_sales3[[#This Row],[Sale_Price]]&gt;1000000,tbl_sales3[[#This Row],[Days_on_Market]]&lt;30),"High Demand","Normal")</f>
        <v>Normal</v>
      </c>
    </row>
    <row r="266" spans="1:23" x14ac:dyDescent="0.3">
      <c r="A266" s="1" t="s">
        <v>304</v>
      </c>
      <c r="B266" s="1" t="s">
        <v>26</v>
      </c>
      <c r="C266" s="1" t="s">
        <v>33</v>
      </c>
      <c r="D266">
        <v>5</v>
      </c>
      <c r="E266">
        <v>4</v>
      </c>
      <c r="F266">
        <v>1272</v>
      </c>
      <c r="G266">
        <v>391302</v>
      </c>
      <c r="H266">
        <v>338660</v>
      </c>
      <c r="I266" s="2">
        <v>45220</v>
      </c>
      <c r="J266" s="2">
        <v>45242</v>
      </c>
      <c r="K266">
        <v>22</v>
      </c>
      <c r="L266" s="1" t="s">
        <v>39</v>
      </c>
      <c r="M266" s="1" t="s">
        <v>20</v>
      </c>
      <c r="N266">
        <v>0.04</v>
      </c>
      <c r="O266">
        <v>13546.4</v>
      </c>
      <c r="P266">
        <v>-52642</v>
      </c>
      <c r="Q266" t="str">
        <f>IF(tbl_sales3[[#This Row],[Sale_Price]]&lt;500000,"Budget",
IF(tbl_sales3[[#This Row],[Sale_Price]]&lt;1000000,"Mid-Range",
"Luxury"))</f>
        <v>Budget</v>
      </c>
      <c r="R266" s="4">
        <f>IFERROR(tbl_sales3[[#This Row],[Sale_Price]]*tbl_sales3[[#This Row],[Commission_Rate]],0)</f>
        <v>13546.4</v>
      </c>
      <c r="S266" t="str">
        <f>IF(ABS(tbl_sales3[[#This Row],[Commission_Earned]]-tbl_sales3[[#This Row],[Calculated_Commission]])&lt;0.02,"Correct","Mismatch")</f>
        <v>Correct</v>
      </c>
      <c r="T266">
        <f>YEAR(tbl_sales3[[#This Row],[Sale_Date]])</f>
        <v>2023</v>
      </c>
      <c r="U266" s="1" t="str">
        <f>TEXT(tbl_sales3[[#This Row],[Sale_Date]],"mmmm")</f>
        <v>November</v>
      </c>
      <c r="V266" s="2">
        <f>EOMONTH(tbl_sales3[[#This Row],[Sale_Date]],0)</f>
        <v>45260</v>
      </c>
      <c r="W266" s="1" t="str">
        <f>IF(AND(tbl_sales3[[#This Row],[Sale_Price]]&gt;1000000,tbl_sales3[[#This Row],[Days_on_Market]]&lt;30),"High Demand","Normal")</f>
        <v>Normal</v>
      </c>
    </row>
    <row r="267" spans="1:23" x14ac:dyDescent="0.3">
      <c r="A267" s="1" t="s">
        <v>305</v>
      </c>
      <c r="B267" s="1" t="s">
        <v>22</v>
      </c>
      <c r="C267" s="1" t="s">
        <v>38</v>
      </c>
      <c r="D267">
        <v>3</v>
      </c>
      <c r="E267">
        <v>4</v>
      </c>
      <c r="F267">
        <v>3124</v>
      </c>
      <c r="G267">
        <v>521764</v>
      </c>
      <c r="H267">
        <v>460707</v>
      </c>
      <c r="I267" s="2">
        <v>45050</v>
      </c>
      <c r="J267" s="2">
        <v>45107</v>
      </c>
      <c r="K267">
        <v>57</v>
      </c>
      <c r="L267" s="1" t="s">
        <v>42</v>
      </c>
      <c r="M267" s="1" t="s">
        <v>24</v>
      </c>
      <c r="N267">
        <v>0.04</v>
      </c>
      <c r="O267">
        <v>18428.28</v>
      </c>
      <c r="P267">
        <v>-61057</v>
      </c>
      <c r="Q267" t="str">
        <f>IF(tbl_sales3[[#This Row],[Sale_Price]]&lt;500000,"Budget",
IF(tbl_sales3[[#This Row],[Sale_Price]]&lt;1000000,"Mid-Range",
"Luxury"))</f>
        <v>Budget</v>
      </c>
      <c r="R267" s="4">
        <f>IFERROR(tbl_sales3[[#This Row],[Sale_Price]]*tbl_sales3[[#This Row],[Commission_Rate]],0)</f>
        <v>18428.28</v>
      </c>
      <c r="S267" t="str">
        <f>IF(ABS(tbl_sales3[[#This Row],[Commission_Earned]]-tbl_sales3[[#This Row],[Calculated_Commission]])&lt;0.02,"Correct","Mismatch")</f>
        <v>Correct</v>
      </c>
      <c r="T267">
        <f>YEAR(tbl_sales3[[#This Row],[Sale_Date]])</f>
        <v>2023</v>
      </c>
      <c r="U267" s="1" t="str">
        <f>TEXT(tbl_sales3[[#This Row],[Sale_Date]],"mmmm")</f>
        <v>June</v>
      </c>
      <c r="V267" s="2">
        <f>EOMONTH(tbl_sales3[[#This Row],[Sale_Date]],0)</f>
        <v>45107</v>
      </c>
      <c r="W267" s="1" t="str">
        <f>IF(AND(tbl_sales3[[#This Row],[Sale_Price]]&gt;1000000,tbl_sales3[[#This Row],[Days_on_Market]]&lt;30),"High Demand","Normal")</f>
        <v>Normal</v>
      </c>
    </row>
    <row r="268" spans="1:23" x14ac:dyDescent="0.3">
      <c r="A268" s="1" t="s">
        <v>306</v>
      </c>
      <c r="B268" s="1" t="s">
        <v>26</v>
      </c>
      <c r="C268" s="1" t="s">
        <v>33</v>
      </c>
      <c r="D268">
        <v>4</v>
      </c>
      <c r="E268">
        <v>1</v>
      </c>
      <c r="F268">
        <v>2784</v>
      </c>
      <c r="G268">
        <v>958995</v>
      </c>
      <c r="H268">
        <v>937399</v>
      </c>
      <c r="I268" s="2">
        <v>45323</v>
      </c>
      <c r="J268" s="2">
        <v>45408</v>
      </c>
      <c r="K268">
        <v>85</v>
      </c>
      <c r="L268" s="1" t="s">
        <v>27</v>
      </c>
      <c r="M268" s="1" t="s">
        <v>20</v>
      </c>
      <c r="N268">
        <v>0.05</v>
      </c>
      <c r="O268">
        <v>46869.95</v>
      </c>
      <c r="P268">
        <v>-21596</v>
      </c>
      <c r="Q268" t="str">
        <f>IF(tbl_sales3[[#This Row],[Sale_Price]]&lt;500000,"Budget",
IF(tbl_sales3[[#This Row],[Sale_Price]]&lt;1000000,"Mid-Range",
"Luxury"))</f>
        <v>Mid-Range</v>
      </c>
      <c r="R268" s="4">
        <f>IFERROR(tbl_sales3[[#This Row],[Sale_Price]]*tbl_sales3[[#This Row],[Commission_Rate]],0)</f>
        <v>46869.950000000004</v>
      </c>
      <c r="S268" t="str">
        <f>IF(ABS(tbl_sales3[[#This Row],[Commission_Earned]]-tbl_sales3[[#This Row],[Calculated_Commission]])&lt;0.02,"Correct","Mismatch")</f>
        <v>Correct</v>
      </c>
      <c r="T268">
        <f>YEAR(tbl_sales3[[#This Row],[Sale_Date]])</f>
        <v>2024</v>
      </c>
      <c r="U268" s="1" t="str">
        <f>TEXT(tbl_sales3[[#This Row],[Sale_Date]],"mmmm")</f>
        <v>April</v>
      </c>
      <c r="V268" s="2">
        <f>EOMONTH(tbl_sales3[[#This Row],[Sale_Date]],0)</f>
        <v>45412</v>
      </c>
      <c r="W268" s="1" t="str">
        <f>IF(AND(tbl_sales3[[#This Row],[Sale_Price]]&gt;1000000,tbl_sales3[[#This Row],[Days_on_Market]]&lt;30),"High Demand","Normal")</f>
        <v>Normal</v>
      </c>
    </row>
    <row r="269" spans="1:23" x14ac:dyDescent="0.3">
      <c r="A269" s="1" t="s">
        <v>307</v>
      </c>
      <c r="B269" s="1" t="s">
        <v>41</v>
      </c>
      <c r="C269" s="1" t="s">
        <v>33</v>
      </c>
      <c r="D269">
        <v>2</v>
      </c>
      <c r="E269">
        <v>4</v>
      </c>
      <c r="F269">
        <v>3289</v>
      </c>
      <c r="G269">
        <v>1481158</v>
      </c>
      <c r="H269">
        <v>1403153</v>
      </c>
      <c r="I269" s="2">
        <v>45124</v>
      </c>
      <c r="J269" s="2">
        <v>45201</v>
      </c>
      <c r="K269">
        <v>77</v>
      </c>
      <c r="L269" s="1" t="s">
        <v>53</v>
      </c>
      <c r="M269" s="1" t="s">
        <v>24</v>
      </c>
      <c r="N269">
        <v>0.04</v>
      </c>
      <c r="O269">
        <v>56126.12</v>
      </c>
      <c r="P269">
        <v>-78005</v>
      </c>
      <c r="Q269" t="str">
        <f>IF(tbl_sales3[[#This Row],[Sale_Price]]&lt;500000,"Budget",
IF(tbl_sales3[[#This Row],[Sale_Price]]&lt;1000000,"Mid-Range",
"Luxury"))</f>
        <v>Luxury</v>
      </c>
      <c r="R269" s="4">
        <f>IFERROR(tbl_sales3[[#This Row],[Sale_Price]]*tbl_sales3[[#This Row],[Commission_Rate]],0)</f>
        <v>56126.12</v>
      </c>
      <c r="S269" t="str">
        <f>IF(ABS(tbl_sales3[[#This Row],[Commission_Earned]]-tbl_sales3[[#This Row],[Calculated_Commission]])&lt;0.02,"Correct","Mismatch")</f>
        <v>Correct</v>
      </c>
      <c r="T269">
        <f>YEAR(tbl_sales3[[#This Row],[Sale_Date]])</f>
        <v>2023</v>
      </c>
      <c r="U269" s="1" t="str">
        <f>TEXT(tbl_sales3[[#This Row],[Sale_Date]],"mmmm")</f>
        <v>October</v>
      </c>
      <c r="V269" s="2">
        <f>EOMONTH(tbl_sales3[[#This Row],[Sale_Date]],0)</f>
        <v>45230</v>
      </c>
      <c r="W269" s="1" t="str">
        <f>IF(AND(tbl_sales3[[#This Row],[Sale_Price]]&gt;1000000,tbl_sales3[[#This Row],[Days_on_Market]]&lt;30),"High Demand","Normal")</f>
        <v>Normal</v>
      </c>
    </row>
    <row r="270" spans="1:23" x14ac:dyDescent="0.3">
      <c r="A270" s="1" t="s">
        <v>308</v>
      </c>
      <c r="B270" s="1" t="s">
        <v>59</v>
      </c>
      <c r="C270" s="1" t="s">
        <v>18</v>
      </c>
      <c r="D270">
        <v>1</v>
      </c>
      <c r="E270">
        <v>1</v>
      </c>
      <c r="F270">
        <v>1160</v>
      </c>
      <c r="G270">
        <v>1395617</v>
      </c>
      <c r="H270">
        <v>1391881</v>
      </c>
      <c r="I270" s="2">
        <v>44957</v>
      </c>
      <c r="J270" s="2">
        <v>44977</v>
      </c>
      <c r="K270">
        <v>20</v>
      </c>
      <c r="L270" s="1" t="s">
        <v>51</v>
      </c>
      <c r="M270" s="1" t="s">
        <v>28</v>
      </c>
      <c r="N270">
        <v>0.04</v>
      </c>
      <c r="O270">
        <v>55675.24</v>
      </c>
      <c r="P270">
        <v>-3736</v>
      </c>
      <c r="Q270" t="str">
        <f>IF(tbl_sales3[[#This Row],[Sale_Price]]&lt;500000,"Budget",
IF(tbl_sales3[[#This Row],[Sale_Price]]&lt;1000000,"Mid-Range",
"Luxury"))</f>
        <v>Luxury</v>
      </c>
      <c r="R270" s="4">
        <f>IFERROR(tbl_sales3[[#This Row],[Sale_Price]]*tbl_sales3[[#This Row],[Commission_Rate]],0)</f>
        <v>55675.24</v>
      </c>
      <c r="S270" t="str">
        <f>IF(ABS(tbl_sales3[[#This Row],[Commission_Earned]]-tbl_sales3[[#This Row],[Calculated_Commission]])&lt;0.02,"Correct","Mismatch")</f>
        <v>Correct</v>
      </c>
      <c r="T270">
        <f>YEAR(tbl_sales3[[#This Row],[Sale_Date]])</f>
        <v>2023</v>
      </c>
      <c r="U270" s="1" t="str">
        <f>TEXT(tbl_sales3[[#This Row],[Sale_Date]],"mmmm")</f>
        <v>February</v>
      </c>
      <c r="V270" s="2">
        <f>EOMONTH(tbl_sales3[[#This Row],[Sale_Date]],0)</f>
        <v>44985</v>
      </c>
      <c r="W270" s="1" t="str">
        <f>IF(AND(tbl_sales3[[#This Row],[Sale_Price]]&gt;1000000,tbl_sales3[[#This Row],[Days_on_Market]]&lt;30),"High Demand","Normal")</f>
        <v>High Demand</v>
      </c>
    </row>
    <row r="271" spans="1:23" x14ac:dyDescent="0.3">
      <c r="A271" s="1" t="s">
        <v>309</v>
      </c>
      <c r="B271" s="1" t="s">
        <v>17</v>
      </c>
      <c r="C271" s="1" t="s">
        <v>33</v>
      </c>
      <c r="D271">
        <v>3</v>
      </c>
      <c r="E271">
        <v>2</v>
      </c>
      <c r="F271">
        <v>1697</v>
      </c>
      <c r="G271">
        <v>1419414</v>
      </c>
      <c r="H271">
        <v>1345020</v>
      </c>
      <c r="I271" s="2">
        <v>45368</v>
      </c>
      <c r="J271" s="2">
        <v>45384</v>
      </c>
      <c r="K271">
        <v>16</v>
      </c>
      <c r="L271" s="1" t="s">
        <v>39</v>
      </c>
      <c r="M271" s="1" t="s">
        <v>20</v>
      </c>
      <c r="N271">
        <v>4.4999999999999998E-2</v>
      </c>
      <c r="O271">
        <v>60525.9</v>
      </c>
      <c r="P271">
        <v>-74394</v>
      </c>
      <c r="Q271" t="str">
        <f>IF(tbl_sales3[[#This Row],[Sale_Price]]&lt;500000,"Budget",
IF(tbl_sales3[[#This Row],[Sale_Price]]&lt;1000000,"Mid-Range",
"Luxury"))</f>
        <v>Luxury</v>
      </c>
      <c r="R271" s="4">
        <f>IFERROR(tbl_sales3[[#This Row],[Sale_Price]]*tbl_sales3[[#This Row],[Commission_Rate]],0)</f>
        <v>60525.899999999994</v>
      </c>
      <c r="S271" t="str">
        <f>IF(ABS(tbl_sales3[[#This Row],[Commission_Earned]]-tbl_sales3[[#This Row],[Calculated_Commission]])&lt;0.02,"Correct","Mismatch")</f>
        <v>Correct</v>
      </c>
      <c r="T271">
        <f>YEAR(tbl_sales3[[#This Row],[Sale_Date]])</f>
        <v>2024</v>
      </c>
      <c r="U271" s="1" t="str">
        <f>TEXT(tbl_sales3[[#This Row],[Sale_Date]],"mmmm")</f>
        <v>April</v>
      </c>
      <c r="V271" s="2">
        <f>EOMONTH(tbl_sales3[[#This Row],[Sale_Date]],0)</f>
        <v>45412</v>
      </c>
      <c r="W271" s="1" t="str">
        <f>IF(AND(tbl_sales3[[#This Row],[Sale_Price]]&gt;1000000,tbl_sales3[[#This Row],[Days_on_Market]]&lt;30),"High Demand","Normal")</f>
        <v>High Demand</v>
      </c>
    </row>
    <row r="272" spans="1:23" x14ac:dyDescent="0.3">
      <c r="A272" s="1" t="s">
        <v>310</v>
      </c>
      <c r="B272" s="1" t="s">
        <v>32</v>
      </c>
      <c r="C272" s="1" t="s">
        <v>23</v>
      </c>
      <c r="D272">
        <v>4</v>
      </c>
      <c r="E272">
        <v>2</v>
      </c>
      <c r="F272">
        <v>3131</v>
      </c>
      <c r="G272">
        <v>1151481</v>
      </c>
      <c r="H272">
        <v>1093230</v>
      </c>
      <c r="I272" s="2">
        <v>45326</v>
      </c>
      <c r="J272" s="2">
        <v>45406</v>
      </c>
      <c r="K272">
        <v>80</v>
      </c>
      <c r="L272" s="1" t="s">
        <v>42</v>
      </c>
      <c r="M272" s="1" t="s">
        <v>24</v>
      </c>
      <c r="N272">
        <v>0.04</v>
      </c>
      <c r="O272">
        <v>43729.2</v>
      </c>
      <c r="P272">
        <v>-58251</v>
      </c>
      <c r="Q272" t="str">
        <f>IF(tbl_sales3[[#This Row],[Sale_Price]]&lt;500000,"Budget",
IF(tbl_sales3[[#This Row],[Sale_Price]]&lt;1000000,"Mid-Range",
"Luxury"))</f>
        <v>Luxury</v>
      </c>
      <c r="R272" s="4">
        <f>IFERROR(tbl_sales3[[#This Row],[Sale_Price]]*tbl_sales3[[#This Row],[Commission_Rate]],0)</f>
        <v>43729.200000000004</v>
      </c>
      <c r="S272" t="str">
        <f>IF(ABS(tbl_sales3[[#This Row],[Commission_Earned]]-tbl_sales3[[#This Row],[Calculated_Commission]])&lt;0.02,"Correct","Mismatch")</f>
        <v>Correct</v>
      </c>
      <c r="T272">
        <f>YEAR(tbl_sales3[[#This Row],[Sale_Date]])</f>
        <v>2024</v>
      </c>
      <c r="U272" s="1" t="str">
        <f>TEXT(tbl_sales3[[#This Row],[Sale_Date]],"mmmm")</f>
        <v>April</v>
      </c>
      <c r="V272" s="2">
        <f>EOMONTH(tbl_sales3[[#This Row],[Sale_Date]],0)</f>
        <v>45412</v>
      </c>
      <c r="W272" s="1" t="str">
        <f>IF(AND(tbl_sales3[[#This Row],[Sale_Price]]&gt;1000000,tbl_sales3[[#This Row],[Days_on_Market]]&lt;30),"High Demand","Normal")</f>
        <v>Normal</v>
      </c>
    </row>
    <row r="273" spans="1:23" x14ac:dyDescent="0.3">
      <c r="A273" s="1" t="s">
        <v>311</v>
      </c>
      <c r="B273" s="1" t="s">
        <v>26</v>
      </c>
      <c r="C273" s="1" t="s">
        <v>18</v>
      </c>
      <c r="D273">
        <v>4</v>
      </c>
      <c r="E273">
        <v>4</v>
      </c>
      <c r="F273">
        <v>2271</v>
      </c>
      <c r="G273">
        <v>414944</v>
      </c>
      <c r="H273">
        <v>374222</v>
      </c>
      <c r="I273" s="2">
        <v>45368</v>
      </c>
      <c r="J273" s="2">
        <v>45445</v>
      </c>
      <c r="K273">
        <v>77</v>
      </c>
      <c r="L273" s="1" t="s">
        <v>27</v>
      </c>
      <c r="M273" s="1" t="s">
        <v>24</v>
      </c>
      <c r="N273">
        <v>0.05</v>
      </c>
      <c r="O273">
        <v>18711.099999999999</v>
      </c>
      <c r="P273">
        <v>-40722</v>
      </c>
      <c r="Q273" t="str">
        <f>IF(tbl_sales3[[#This Row],[Sale_Price]]&lt;500000,"Budget",
IF(tbl_sales3[[#This Row],[Sale_Price]]&lt;1000000,"Mid-Range",
"Luxury"))</f>
        <v>Budget</v>
      </c>
      <c r="R273" s="4">
        <f>IFERROR(tbl_sales3[[#This Row],[Sale_Price]]*tbl_sales3[[#This Row],[Commission_Rate]],0)</f>
        <v>18711.100000000002</v>
      </c>
      <c r="S273" t="str">
        <f>IF(ABS(tbl_sales3[[#This Row],[Commission_Earned]]-tbl_sales3[[#This Row],[Calculated_Commission]])&lt;0.02,"Correct","Mismatch")</f>
        <v>Correct</v>
      </c>
      <c r="T273">
        <f>YEAR(tbl_sales3[[#This Row],[Sale_Date]])</f>
        <v>2024</v>
      </c>
      <c r="U273" s="1" t="str">
        <f>TEXT(tbl_sales3[[#This Row],[Sale_Date]],"mmmm")</f>
        <v>June</v>
      </c>
      <c r="V273" s="2">
        <f>EOMONTH(tbl_sales3[[#This Row],[Sale_Date]],0)</f>
        <v>45473</v>
      </c>
      <c r="W273" s="1" t="str">
        <f>IF(AND(tbl_sales3[[#This Row],[Sale_Price]]&gt;1000000,tbl_sales3[[#This Row],[Days_on_Market]]&lt;30),"High Demand","Normal")</f>
        <v>Normal</v>
      </c>
    </row>
    <row r="274" spans="1:23" x14ac:dyDescent="0.3">
      <c r="A274" s="1" t="s">
        <v>312</v>
      </c>
      <c r="B274" s="1" t="s">
        <v>32</v>
      </c>
      <c r="C274" s="1" t="s">
        <v>38</v>
      </c>
      <c r="D274">
        <v>5</v>
      </c>
      <c r="E274">
        <v>1</v>
      </c>
      <c r="F274">
        <v>3102</v>
      </c>
      <c r="G274">
        <v>1007682</v>
      </c>
      <c r="H274">
        <v>947107</v>
      </c>
      <c r="I274" s="2">
        <v>45222</v>
      </c>
      <c r="J274" s="2">
        <v>45298</v>
      </c>
      <c r="K274">
        <v>76</v>
      </c>
      <c r="L274" s="1" t="s">
        <v>27</v>
      </c>
      <c r="M274" s="1" t="s">
        <v>28</v>
      </c>
      <c r="N274">
        <v>0.04</v>
      </c>
      <c r="O274">
        <v>37884.28</v>
      </c>
      <c r="P274">
        <v>-60575</v>
      </c>
      <c r="Q274" t="str">
        <f>IF(tbl_sales3[[#This Row],[Sale_Price]]&lt;500000,"Budget",
IF(tbl_sales3[[#This Row],[Sale_Price]]&lt;1000000,"Mid-Range",
"Luxury"))</f>
        <v>Mid-Range</v>
      </c>
      <c r="R274" s="4">
        <f>IFERROR(tbl_sales3[[#This Row],[Sale_Price]]*tbl_sales3[[#This Row],[Commission_Rate]],0)</f>
        <v>37884.28</v>
      </c>
      <c r="S274" t="str">
        <f>IF(ABS(tbl_sales3[[#This Row],[Commission_Earned]]-tbl_sales3[[#This Row],[Calculated_Commission]])&lt;0.02,"Correct","Mismatch")</f>
        <v>Correct</v>
      </c>
      <c r="T274">
        <f>YEAR(tbl_sales3[[#This Row],[Sale_Date]])</f>
        <v>2024</v>
      </c>
      <c r="U274" s="1" t="str">
        <f>TEXT(tbl_sales3[[#This Row],[Sale_Date]],"mmmm")</f>
        <v>January</v>
      </c>
      <c r="V274" s="2">
        <f>EOMONTH(tbl_sales3[[#This Row],[Sale_Date]],0)</f>
        <v>45322</v>
      </c>
      <c r="W274" s="1" t="str">
        <f>IF(AND(tbl_sales3[[#This Row],[Sale_Price]]&gt;1000000,tbl_sales3[[#This Row],[Days_on_Market]]&lt;30),"High Demand","Normal")</f>
        <v>Normal</v>
      </c>
    </row>
    <row r="275" spans="1:23" x14ac:dyDescent="0.3">
      <c r="A275" s="1" t="s">
        <v>313</v>
      </c>
      <c r="B275" s="1" t="s">
        <v>37</v>
      </c>
      <c r="C275" s="1" t="s">
        <v>38</v>
      </c>
      <c r="D275">
        <v>5</v>
      </c>
      <c r="E275">
        <v>1</v>
      </c>
      <c r="F275">
        <v>1581</v>
      </c>
      <c r="G275">
        <v>1689734</v>
      </c>
      <c r="H275">
        <v>1680667</v>
      </c>
      <c r="I275" s="2">
        <v>45446</v>
      </c>
      <c r="J275" s="2">
        <v>45464</v>
      </c>
      <c r="K275">
        <v>18</v>
      </c>
      <c r="L275" s="1" t="s">
        <v>19</v>
      </c>
      <c r="M275" s="1" t="s">
        <v>28</v>
      </c>
      <c r="N275">
        <v>0.04</v>
      </c>
      <c r="O275">
        <v>67226.679999999993</v>
      </c>
      <c r="P275">
        <v>-9067</v>
      </c>
      <c r="Q275" t="str">
        <f>IF(tbl_sales3[[#This Row],[Sale_Price]]&lt;500000,"Budget",
IF(tbl_sales3[[#This Row],[Sale_Price]]&lt;1000000,"Mid-Range",
"Luxury"))</f>
        <v>Luxury</v>
      </c>
      <c r="R275" s="4">
        <f>IFERROR(tbl_sales3[[#This Row],[Sale_Price]]*tbl_sales3[[#This Row],[Commission_Rate]],0)</f>
        <v>67226.680000000008</v>
      </c>
      <c r="S275" t="str">
        <f>IF(ABS(tbl_sales3[[#This Row],[Commission_Earned]]-tbl_sales3[[#This Row],[Calculated_Commission]])&lt;0.02,"Correct","Mismatch")</f>
        <v>Correct</v>
      </c>
      <c r="T275">
        <f>YEAR(tbl_sales3[[#This Row],[Sale_Date]])</f>
        <v>2024</v>
      </c>
      <c r="U275" s="1" t="str">
        <f>TEXT(tbl_sales3[[#This Row],[Sale_Date]],"mmmm")</f>
        <v>June</v>
      </c>
      <c r="V275" s="2">
        <f>EOMONTH(tbl_sales3[[#This Row],[Sale_Date]],0)</f>
        <v>45473</v>
      </c>
      <c r="W275" s="1" t="str">
        <f>IF(AND(tbl_sales3[[#This Row],[Sale_Price]]&gt;1000000,tbl_sales3[[#This Row],[Days_on_Market]]&lt;30),"High Demand","Normal")</f>
        <v>High Demand</v>
      </c>
    </row>
    <row r="276" spans="1:23" x14ac:dyDescent="0.3">
      <c r="A276" s="1" t="s">
        <v>314</v>
      </c>
      <c r="B276" s="1" t="s">
        <v>22</v>
      </c>
      <c r="C276" s="1" t="s">
        <v>35</v>
      </c>
      <c r="D276">
        <v>5</v>
      </c>
      <c r="E276">
        <v>1</v>
      </c>
      <c r="F276">
        <v>2757</v>
      </c>
      <c r="G276">
        <v>1549832</v>
      </c>
      <c r="H276">
        <v>1483796</v>
      </c>
      <c r="I276" s="2">
        <v>45498</v>
      </c>
      <c r="J276" s="2">
        <v>45587</v>
      </c>
      <c r="K276">
        <v>89</v>
      </c>
      <c r="L276" s="1" t="s">
        <v>19</v>
      </c>
      <c r="M276" s="1" t="s">
        <v>20</v>
      </c>
      <c r="N276">
        <v>0.05</v>
      </c>
      <c r="O276">
        <v>74189.8</v>
      </c>
      <c r="P276">
        <v>-66036</v>
      </c>
      <c r="Q276" t="str">
        <f>IF(tbl_sales3[[#This Row],[Sale_Price]]&lt;500000,"Budget",
IF(tbl_sales3[[#This Row],[Sale_Price]]&lt;1000000,"Mid-Range",
"Luxury"))</f>
        <v>Luxury</v>
      </c>
      <c r="R276" s="4">
        <f>IFERROR(tbl_sales3[[#This Row],[Sale_Price]]*tbl_sales3[[#This Row],[Commission_Rate]],0)</f>
        <v>74189.8</v>
      </c>
      <c r="S276" t="str">
        <f>IF(ABS(tbl_sales3[[#This Row],[Commission_Earned]]-tbl_sales3[[#This Row],[Calculated_Commission]])&lt;0.02,"Correct","Mismatch")</f>
        <v>Correct</v>
      </c>
      <c r="T276">
        <f>YEAR(tbl_sales3[[#This Row],[Sale_Date]])</f>
        <v>2024</v>
      </c>
      <c r="U276" s="1" t="str">
        <f>TEXT(tbl_sales3[[#This Row],[Sale_Date]],"mmmm")</f>
        <v>October</v>
      </c>
      <c r="V276" s="2">
        <f>EOMONTH(tbl_sales3[[#This Row],[Sale_Date]],0)</f>
        <v>45596</v>
      </c>
      <c r="W276" s="1" t="str">
        <f>IF(AND(tbl_sales3[[#This Row],[Sale_Price]]&gt;1000000,tbl_sales3[[#This Row],[Days_on_Market]]&lt;30),"High Demand","Normal")</f>
        <v>Normal</v>
      </c>
    </row>
    <row r="277" spans="1:23" x14ac:dyDescent="0.3">
      <c r="A277" s="1" t="s">
        <v>315</v>
      </c>
      <c r="B277" s="1" t="s">
        <v>37</v>
      </c>
      <c r="C277" s="1" t="s">
        <v>35</v>
      </c>
      <c r="D277">
        <v>1</v>
      </c>
      <c r="E277">
        <v>1</v>
      </c>
      <c r="F277">
        <v>627</v>
      </c>
      <c r="G277">
        <v>1572106</v>
      </c>
      <c r="H277">
        <v>1566031</v>
      </c>
      <c r="I277" s="2">
        <v>45140</v>
      </c>
      <c r="J277" s="2">
        <v>45179</v>
      </c>
      <c r="K277">
        <v>39</v>
      </c>
      <c r="L277" s="1" t="s">
        <v>51</v>
      </c>
      <c r="M277" s="1" t="s">
        <v>20</v>
      </c>
      <c r="N277">
        <v>0.05</v>
      </c>
      <c r="O277">
        <v>78301.55</v>
      </c>
      <c r="P277">
        <v>-6075</v>
      </c>
      <c r="Q277" t="str">
        <f>IF(tbl_sales3[[#This Row],[Sale_Price]]&lt;500000,"Budget",
IF(tbl_sales3[[#This Row],[Sale_Price]]&lt;1000000,"Mid-Range",
"Luxury"))</f>
        <v>Luxury</v>
      </c>
      <c r="R277" s="4">
        <f>IFERROR(tbl_sales3[[#This Row],[Sale_Price]]*tbl_sales3[[#This Row],[Commission_Rate]],0)</f>
        <v>78301.55</v>
      </c>
      <c r="S277" t="str">
        <f>IF(ABS(tbl_sales3[[#This Row],[Commission_Earned]]-tbl_sales3[[#This Row],[Calculated_Commission]])&lt;0.02,"Correct","Mismatch")</f>
        <v>Correct</v>
      </c>
      <c r="T277">
        <f>YEAR(tbl_sales3[[#This Row],[Sale_Date]])</f>
        <v>2023</v>
      </c>
      <c r="U277" s="1" t="str">
        <f>TEXT(tbl_sales3[[#This Row],[Sale_Date]],"mmmm")</f>
        <v>September</v>
      </c>
      <c r="V277" s="2">
        <f>EOMONTH(tbl_sales3[[#This Row],[Sale_Date]],0)</f>
        <v>45199</v>
      </c>
      <c r="W277" s="1" t="str">
        <f>IF(AND(tbl_sales3[[#This Row],[Sale_Price]]&gt;1000000,tbl_sales3[[#This Row],[Days_on_Market]]&lt;30),"High Demand","Normal")</f>
        <v>Normal</v>
      </c>
    </row>
    <row r="278" spans="1:23" x14ac:dyDescent="0.3">
      <c r="A278" s="1" t="s">
        <v>316</v>
      </c>
      <c r="B278" s="1" t="s">
        <v>59</v>
      </c>
      <c r="C278" s="1" t="s">
        <v>35</v>
      </c>
      <c r="D278">
        <v>5</v>
      </c>
      <c r="E278">
        <v>1</v>
      </c>
      <c r="F278">
        <v>2879</v>
      </c>
      <c r="G278">
        <v>1771357</v>
      </c>
      <c r="H278">
        <v>1693428</v>
      </c>
      <c r="I278" s="2">
        <v>45070</v>
      </c>
      <c r="J278" s="2">
        <v>45115</v>
      </c>
      <c r="K278">
        <v>45</v>
      </c>
      <c r="L278" s="1" t="s">
        <v>19</v>
      </c>
      <c r="M278" s="1" t="s">
        <v>28</v>
      </c>
      <c r="N278">
        <v>0.05</v>
      </c>
      <c r="O278">
        <v>84671.4</v>
      </c>
      <c r="P278">
        <v>-77929</v>
      </c>
      <c r="Q278" t="str">
        <f>IF(tbl_sales3[[#This Row],[Sale_Price]]&lt;500000,"Budget",
IF(tbl_sales3[[#This Row],[Sale_Price]]&lt;1000000,"Mid-Range",
"Luxury"))</f>
        <v>Luxury</v>
      </c>
      <c r="R278" s="4">
        <f>IFERROR(tbl_sales3[[#This Row],[Sale_Price]]*tbl_sales3[[#This Row],[Commission_Rate]],0)</f>
        <v>84671.400000000009</v>
      </c>
      <c r="S278" t="str">
        <f>IF(ABS(tbl_sales3[[#This Row],[Commission_Earned]]-tbl_sales3[[#This Row],[Calculated_Commission]])&lt;0.02,"Correct","Mismatch")</f>
        <v>Correct</v>
      </c>
      <c r="T278">
        <f>YEAR(tbl_sales3[[#This Row],[Sale_Date]])</f>
        <v>2023</v>
      </c>
      <c r="U278" s="1" t="str">
        <f>TEXT(tbl_sales3[[#This Row],[Sale_Date]],"mmmm")</f>
        <v>July</v>
      </c>
      <c r="V278" s="2">
        <f>EOMONTH(tbl_sales3[[#This Row],[Sale_Date]],0)</f>
        <v>45138</v>
      </c>
      <c r="W278" s="1" t="str">
        <f>IF(AND(tbl_sales3[[#This Row],[Sale_Price]]&gt;1000000,tbl_sales3[[#This Row],[Days_on_Market]]&lt;30),"High Demand","Normal")</f>
        <v>Normal</v>
      </c>
    </row>
    <row r="279" spans="1:23" x14ac:dyDescent="0.3">
      <c r="A279" s="1" t="s">
        <v>317</v>
      </c>
      <c r="B279" s="1" t="s">
        <v>48</v>
      </c>
      <c r="C279" s="1" t="s">
        <v>38</v>
      </c>
      <c r="D279">
        <v>5</v>
      </c>
      <c r="E279">
        <v>1</v>
      </c>
      <c r="F279">
        <v>3089</v>
      </c>
      <c r="G279">
        <v>1573330</v>
      </c>
      <c r="H279">
        <v>1557741</v>
      </c>
      <c r="I279" s="2">
        <v>44957</v>
      </c>
      <c r="J279" s="2">
        <v>45024</v>
      </c>
      <c r="K279">
        <v>67</v>
      </c>
      <c r="L279" s="1" t="s">
        <v>53</v>
      </c>
      <c r="M279" s="1" t="s">
        <v>28</v>
      </c>
      <c r="N279">
        <v>4.4999999999999998E-2</v>
      </c>
      <c r="O279">
        <v>70098.350000000006</v>
      </c>
      <c r="P279">
        <v>-15589</v>
      </c>
      <c r="Q279" t="str">
        <f>IF(tbl_sales3[[#This Row],[Sale_Price]]&lt;500000,"Budget",
IF(tbl_sales3[[#This Row],[Sale_Price]]&lt;1000000,"Mid-Range",
"Luxury"))</f>
        <v>Luxury</v>
      </c>
      <c r="R279" s="4">
        <f>IFERROR(tbl_sales3[[#This Row],[Sale_Price]]*tbl_sales3[[#This Row],[Commission_Rate]],0)</f>
        <v>70098.345000000001</v>
      </c>
      <c r="S279" t="str">
        <f>IF(ABS(tbl_sales3[[#This Row],[Commission_Earned]]-tbl_sales3[[#This Row],[Calculated_Commission]])&lt;0.02,"Correct","Mismatch")</f>
        <v>Correct</v>
      </c>
      <c r="T279">
        <f>YEAR(tbl_sales3[[#This Row],[Sale_Date]])</f>
        <v>2023</v>
      </c>
      <c r="U279" s="1" t="str">
        <f>TEXT(tbl_sales3[[#This Row],[Sale_Date]],"mmmm")</f>
        <v>April</v>
      </c>
      <c r="V279" s="2">
        <f>EOMONTH(tbl_sales3[[#This Row],[Sale_Date]],0)</f>
        <v>45046</v>
      </c>
      <c r="W279" s="1" t="str">
        <f>IF(AND(tbl_sales3[[#This Row],[Sale_Price]]&gt;1000000,tbl_sales3[[#This Row],[Days_on_Market]]&lt;30),"High Demand","Normal")</f>
        <v>Normal</v>
      </c>
    </row>
    <row r="280" spans="1:23" x14ac:dyDescent="0.3">
      <c r="A280" s="1" t="s">
        <v>318</v>
      </c>
      <c r="B280" s="1" t="s">
        <v>37</v>
      </c>
      <c r="C280" s="1" t="s">
        <v>33</v>
      </c>
      <c r="D280">
        <v>3</v>
      </c>
      <c r="E280">
        <v>2</v>
      </c>
      <c r="F280">
        <v>1270</v>
      </c>
      <c r="G280">
        <v>1354895</v>
      </c>
      <c r="H280">
        <v>1320963</v>
      </c>
      <c r="I280" s="2">
        <v>45146</v>
      </c>
      <c r="J280" s="2">
        <v>45185</v>
      </c>
      <c r="K280">
        <v>39</v>
      </c>
      <c r="L280" s="1" t="s">
        <v>30</v>
      </c>
      <c r="M280" s="1" t="s">
        <v>20</v>
      </c>
      <c r="N280">
        <v>4.4999999999999998E-2</v>
      </c>
      <c r="O280">
        <v>59443.33</v>
      </c>
      <c r="P280">
        <v>-33932</v>
      </c>
      <c r="Q280" t="str">
        <f>IF(tbl_sales3[[#This Row],[Sale_Price]]&lt;500000,"Budget",
IF(tbl_sales3[[#This Row],[Sale_Price]]&lt;1000000,"Mid-Range",
"Luxury"))</f>
        <v>Luxury</v>
      </c>
      <c r="R280" s="4">
        <f>IFERROR(tbl_sales3[[#This Row],[Sale_Price]]*tbl_sales3[[#This Row],[Commission_Rate]],0)</f>
        <v>59443.334999999999</v>
      </c>
      <c r="S280" t="str">
        <f>IF(ABS(tbl_sales3[[#This Row],[Commission_Earned]]-tbl_sales3[[#This Row],[Calculated_Commission]])&lt;0.02,"Correct","Mismatch")</f>
        <v>Correct</v>
      </c>
      <c r="T280">
        <f>YEAR(tbl_sales3[[#This Row],[Sale_Date]])</f>
        <v>2023</v>
      </c>
      <c r="U280" s="1" t="str">
        <f>TEXT(tbl_sales3[[#This Row],[Sale_Date]],"mmmm")</f>
        <v>September</v>
      </c>
      <c r="V280" s="2">
        <f>EOMONTH(tbl_sales3[[#This Row],[Sale_Date]],0)</f>
        <v>45199</v>
      </c>
      <c r="W280" s="1" t="str">
        <f>IF(AND(tbl_sales3[[#This Row],[Sale_Price]]&gt;1000000,tbl_sales3[[#This Row],[Days_on_Market]]&lt;30),"High Demand","Normal")</f>
        <v>Normal</v>
      </c>
    </row>
    <row r="281" spans="1:23" x14ac:dyDescent="0.3">
      <c r="A281" s="1" t="s">
        <v>319</v>
      </c>
      <c r="B281" s="1" t="s">
        <v>37</v>
      </c>
      <c r="C281" s="1" t="s">
        <v>18</v>
      </c>
      <c r="D281">
        <v>1</v>
      </c>
      <c r="E281">
        <v>1</v>
      </c>
      <c r="F281">
        <v>3230</v>
      </c>
      <c r="G281">
        <v>1527284</v>
      </c>
      <c r="H281">
        <v>1464981</v>
      </c>
      <c r="I281" s="2">
        <v>45549</v>
      </c>
      <c r="J281" s="2">
        <v>45617</v>
      </c>
      <c r="K281">
        <v>68</v>
      </c>
      <c r="L281" s="1" t="s">
        <v>27</v>
      </c>
      <c r="M281" s="1" t="s">
        <v>28</v>
      </c>
      <c r="N281">
        <v>0.05</v>
      </c>
      <c r="O281">
        <v>73249.05</v>
      </c>
      <c r="P281">
        <v>-62303</v>
      </c>
      <c r="Q281" t="str">
        <f>IF(tbl_sales3[[#This Row],[Sale_Price]]&lt;500000,"Budget",
IF(tbl_sales3[[#This Row],[Sale_Price]]&lt;1000000,"Mid-Range",
"Luxury"))</f>
        <v>Luxury</v>
      </c>
      <c r="R281" s="4">
        <f>IFERROR(tbl_sales3[[#This Row],[Sale_Price]]*tbl_sales3[[#This Row],[Commission_Rate]],0)</f>
        <v>73249.05</v>
      </c>
      <c r="S281" t="str">
        <f>IF(ABS(tbl_sales3[[#This Row],[Commission_Earned]]-tbl_sales3[[#This Row],[Calculated_Commission]])&lt;0.02,"Correct","Mismatch")</f>
        <v>Correct</v>
      </c>
      <c r="T281">
        <f>YEAR(tbl_sales3[[#This Row],[Sale_Date]])</f>
        <v>2024</v>
      </c>
      <c r="U281" s="1" t="str">
        <f>TEXT(tbl_sales3[[#This Row],[Sale_Date]],"mmmm")</f>
        <v>November</v>
      </c>
      <c r="V281" s="2">
        <f>EOMONTH(tbl_sales3[[#This Row],[Sale_Date]],0)</f>
        <v>45626</v>
      </c>
      <c r="W281" s="1" t="str">
        <f>IF(AND(tbl_sales3[[#This Row],[Sale_Price]]&gt;1000000,tbl_sales3[[#This Row],[Days_on_Market]]&lt;30),"High Demand","Normal")</f>
        <v>Normal</v>
      </c>
    </row>
    <row r="282" spans="1:23" x14ac:dyDescent="0.3">
      <c r="A282" s="1" t="s">
        <v>320</v>
      </c>
      <c r="B282" s="1" t="s">
        <v>22</v>
      </c>
      <c r="C282" s="1" t="s">
        <v>35</v>
      </c>
      <c r="D282">
        <v>2</v>
      </c>
      <c r="E282">
        <v>1</v>
      </c>
      <c r="F282">
        <v>1702</v>
      </c>
      <c r="G282">
        <v>1480753</v>
      </c>
      <c r="H282">
        <v>1451259</v>
      </c>
      <c r="I282" s="2">
        <v>45476</v>
      </c>
      <c r="J282" s="2">
        <v>45531</v>
      </c>
      <c r="K282">
        <v>55</v>
      </c>
      <c r="L282" s="1" t="s">
        <v>44</v>
      </c>
      <c r="M282" s="1" t="s">
        <v>20</v>
      </c>
      <c r="N282">
        <v>0.05</v>
      </c>
      <c r="O282">
        <v>72562.95</v>
      </c>
      <c r="P282">
        <v>-29494</v>
      </c>
      <c r="Q282" t="str">
        <f>IF(tbl_sales3[[#This Row],[Sale_Price]]&lt;500000,"Budget",
IF(tbl_sales3[[#This Row],[Sale_Price]]&lt;1000000,"Mid-Range",
"Luxury"))</f>
        <v>Luxury</v>
      </c>
      <c r="R282" s="4">
        <f>IFERROR(tbl_sales3[[#This Row],[Sale_Price]]*tbl_sales3[[#This Row],[Commission_Rate]],0)</f>
        <v>72562.95</v>
      </c>
      <c r="S282" t="str">
        <f>IF(ABS(tbl_sales3[[#This Row],[Commission_Earned]]-tbl_sales3[[#This Row],[Calculated_Commission]])&lt;0.02,"Correct","Mismatch")</f>
        <v>Correct</v>
      </c>
      <c r="T282">
        <f>YEAR(tbl_sales3[[#This Row],[Sale_Date]])</f>
        <v>2024</v>
      </c>
      <c r="U282" s="1" t="str">
        <f>TEXT(tbl_sales3[[#This Row],[Sale_Date]],"mmmm")</f>
        <v>August</v>
      </c>
      <c r="V282" s="2">
        <f>EOMONTH(tbl_sales3[[#This Row],[Sale_Date]],0)</f>
        <v>45535</v>
      </c>
      <c r="W282" s="1" t="str">
        <f>IF(AND(tbl_sales3[[#This Row],[Sale_Price]]&gt;1000000,tbl_sales3[[#This Row],[Days_on_Market]]&lt;30),"High Demand","Normal")</f>
        <v>Normal</v>
      </c>
    </row>
    <row r="283" spans="1:23" x14ac:dyDescent="0.3">
      <c r="A283" s="1" t="s">
        <v>321</v>
      </c>
      <c r="B283" s="1" t="s">
        <v>48</v>
      </c>
      <c r="C283" s="1" t="s">
        <v>23</v>
      </c>
      <c r="D283">
        <v>3</v>
      </c>
      <c r="E283">
        <v>2</v>
      </c>
      <c r="F283">
        <v>618</v>
      </c>
      <c r="G283">
        <v>1161083</v>
      </c>
      <c r="H283">
        <v>1091610</v>
      </c>
      <c r="I283" s="2">
        <v>45510</v>
      </c>
      <c r="J283" s="2">
        <v>45587</v>
      </c>
      <c r="K283">
        <v>77</v>
      </c>
      <c r="L283" s="1" t="s">
        <v>51</v>
      </c>
      <c r="M283" s="1" t="s">
        <v>28</v>
      </c>
      <c r="N283">
        <v>0.04</v>
      </c>
      <c r="O283">
        <v>43664.4</v>
      </c>
      <c r="P283">
        <v>-69473</v>
      </c>
      <c r="Q283" t="str">
        <f>IF(tbl_sales3[[#This Row],[Sale_Price]]&lt;500000,"Budget",
IF(tbl_sales3[[#This Row],[Sale_Price]]&lt;1000000,"Mid-Range",
"Luxury"))</f>
        <v>Luxury</v>
      </c>
      <c r="R283" s="4">
        <f>IFERROR(tbl_sales3[[#This Row],[Sale_Price]]*tbl_sales3[[#This Row],[Commission_Rate]],0)</f>
        <v>43664.4</v>
      </c>
      <c r="S283" t="str">
        <f>IF(ABS(tbl_sales3[[#This Row],[Commission_Earned]]-tbl_sales3[[#This Row],[Calculated_Commission]])&lt;0.02,"Correct","Mismatch")</f>
        <v>Correct</v>
      </c>
      <c r="T283">
        <f>YEAR(tbl_sales3[[#This Row],[Sale_Date]])</f>
        <v>2024</v>
      </c>
      <c r="U283" s="1" t="str">
        <f>TEXT(tbl_sales3[[#This Row],[Sale_Date]],"mmmm")</f>
        <v>October</v>
      </c>
      <c r="V283" s="2">
        <f>EOMONTH(tbl_sales3[[#This Row],[Sale_Date]],0)</f>
        <v>45596</v>
      </c>
      <c r="W283" s="1" t="str">
        <f>IF(AND(tbl_sales3[[#This Row],[Sale_Price]]&gt;1000000,tbl_sales3[[#This Row],[Days_on_Market]]&lt;30),"High Demand","Normal")</f>
        <v>Normal</v>
      </c>
    </row>
    <row r="284" spans="1:23" x14ac:dyDescent="0.3">
      <c r="A284" s="1" t="s">
        <v>322</v>
      </c>
      <c r="B284" s="1" t="s">
        <v>48</v>
      </c>
      <c r="C284" s="1" t="s">
        <v>38</v>
      </c>
      <c r="D284">
        <v>2</v>
      </c>
      <c r="E284">
        <v>1</v>
      </c>
      <c r="F284">
        <v>2462</v>
      </c>
      <c r="G284">
        <v>492904</v>
      </c>
      <c r="H284">
        <v>438225</v>
      </c>
      <c r="I284" s="2">
        <v>45204</v>
      </c>
      <c r="J284" s="2">
        <v>45282</v>
      </c>
      <c r="K284">
        <v>78</v>
      </c>
      <c r="L284" s="1" t="s">
        <v>42</v>
      </c>
      <c r="M284" s="1" t="s">
        <v>24</v>
      </c>
      <c r="N284">
        <v>0.05</v>
      </c>
      <c r="O284">
        <v>21911.25</v>
      </c>
      <c r="P284">
        <v>-54679</v>
      </c>
      <c r="Q284" t="str">
        <f>IF(tbl_sales3[[#This Row],[Sale_Price]]&lt;500000,"Budget",
IF(tbl_sales3[[#This Row],[Sale_Price]]&lt;1000000,"Mid-Range",
"Luxury"))</f>
        <v>Budget</v>
      </c>
      <c r="R284" s="4">
        <f>IFERROR(tbl_sales3[[#This Row],[Sale_Price]]*tbl_sales3[[#This Row],[Commission_Rate]],0)</f>
        <v>21911.25</v>
      </c>
      <c r="S284" t="str">
        <f>IF(ABS(tbl_sales3[[#This Row],[Commission_Earned]]-tbl_sales3[[#This Row],[Calculated_Commission]])&lt;0.02,"Correct","Mismatch")</f>
        <v>Correct</v>
      </c>
      <c r="T284">
        <f>YEAR(tbl_sales3[[#This Row],[Sale_Date]])</f>
        <v>2023</v>
      </c>
      <c r="U284" s="1" t="str">
        <f>TEXT(tbl_sales3[[#This Row],[Sale_Date]],"mmmm")</f>
        <v>December</v>
      </c>
      <c r="V284" s="2">
        <f>EOMONTH(tbl_sales3[[#This Row],[Sale_Date]],0)</f>
        <v>45291</v>
      </c>
      <c r="W284" s="1" t="str">
        <f>IF(AND(tbl_sales3[[#This Row],[Sale_Price]]&gt;1000000,tbl_sales3[[#This Row],[Days_on_Market]]&lt;30),"High Demand","Normal")</f>
        <v>Normal</v>
      </c>
    </row>
    <row r="285" spans="1:23" x14ac:dyDescent="0.3">
      <c r="A285" s="1" t="s">
        <v>323</v>
      </c>
      <c r="B285" s="1" t="s">
        <v>41</v>
      </c>
      <c r="C285" s="1" t="s">
        <v>35</v>
      </c>
      <c r="D285">
        <v>5</v>
      </c>
      <c r="E285">
        <v>1</v>
      </c>
      <c r="F285">
        <v>2783</v>
      </c>
      <c r="G285">
        <v>358298</v>
      </c>
      <c r="H285">
        <v>298536</v>
      </c>
      <c r="I285" s="2">
        <v>45369</v>
      </c>
      <c r="J285" s="2">
        <v>45376</v>
      </c>
      <c r="K285">
        <v>7</v>
      </c>
      <c r="L285" s="1" t="s">
        <v>19</v>
      </c>
      <c r="M285" s="1" t="s">
        <v>28</v>
      </c>
      <c r="N285">
        <v>0.05</v>
      </c>
      <c r="O285">
        <v>14926.8</v>
      </c>
      <c r="P285">
        <v>-59762</v>
      </c>
      <c r="Q285" t="str">
        <f>IF(tbl_sales3[[#This Row],[Sale_Price]]&lt;500000,"Budget",
IF(tbl_sales3[[#This Row],[Sale_Price]]&lt;1000000,"Mid-Range",
"Luxury"))</f>
        <v>Budget</v>
      </c>
      <c r="R285" s="4">
        <f>IFERROR(tbl_sales3[[#This Row],[Sale_Price]]*tbl_sales3[[#This Row],[Commission_Rate]],0)</f>
        <v>14926.800000000001</v>
      </c>
      <c r="S285" t="str">
        <f>IF(ABS(tbl_sales3[[#This Row],[Commission_Earned]]-tbl_sales3[[#This Row],[Calculated_Commission]])&lt;0.02,"Correct","Mismatch")</f>
        <v>Correct</v>
      </c>
      <c r="T285">
        <f>YEAR(tbl_sales3[[#This Row],[Sale_Date]])</f>
        <v>2024</v>
      </c>
      <c r="U285" s="1" t="str">
        <f>TEXT(tbl_sales3[[#This Row],[Sale_Date]],"mmmm")</f>
        <v>March</v>
      </c>
      <c r="V285" s="2">
        <f>EOMONTH(tbl_sales3[[#This Row],[Sale_Date]],0)</f>
        <v>45382</v>
      </c>
      <c r="W285" s="1" t="str">
        <f>IF(AND(tbl_sales3[[#This Row],[Sale_Price]]&gt;1000000,tbl_sales3[[#This Row],[Days_on_Market]]&lt;30),"High Demand","Normal")</f>
        <v>Normal</v>
      </c>
    </row>
    <row r="286" spans="1:23" x14ac:dyDescent="0.3">
      <c r="A286" s="1" t="s">
        <v>324</v>
      </c>
      <c r="B286" s="1" t="s">
        <v>32</v>
      </c>
      <c r="C286" s="1" t="s">
        <v>33</v>
      </c>
      <c r="D286">
        <v>4</v>
      </c>
      <c r="E286">
        <v>4</v>
      </c>
      <c r="F286">
        <v>950</v>
      </c>
      <c r="G286">
        <v>485769</v>
      </c>
      <c r="H286">
        <v>415374</v>
      </c>
      <c r="I286" s="2">
        <v>45105</v>
      </c>
      <c r="J286" s="2">
        <v>45184</v>
      </c>
      <c r="K286">
        <v>79</v>
      </c>
      <c r="L286" s="1" t="s">
        <v>44</v>
      </c>
      <c r="M286" s="1" t="s">
        <v>28</v>
      </c>
      <c r="N286">
        <v>4.4999999999999998E-2</v>
      </c>
      <c r="O286">
        <v>18691.830000000002</v>
      </c>
      <c r="P286">
        <v>-70395</v>
      </c>
      <c r="Q286" t="str">
        <f>IF(tbl_sales3[[#This Row],[Sale_Price]]&lt;500000,"Budget",
IF(tbl_sales3[[#This Row],[Sale_Price]]&lt;1000000,"Mid-Range",
"Luxury"))</f>
        <v>Budget</v>
      </c>
      <c r="R286" s="4">
        <f>IFERROR(tbl_sales3[[#This Row],[Sale_Price]]*tbl_sales3[[#This Row],[Commission_Rate]],0)</f>
        <v>18691.829999999998</v>
      </c>
      <c r="S286" t="str">
        <f>IF(ABS(tbl_sales3[[#This Row],[Commission_Earned]]-tbl_sales3[[#This Row],[Calculated_Commission]])&lt;0.02,"Correct","Mismatch")</f>
        <v>Correct</v>
      </c>
      <c r="T286">
        <f>YEAR(tbl_sales3[[#This Row],[Sale_Date]])</f>
        <v>2023</v>
      </c>
      <c r="U286" s="1" t="str">
        <f>TEXT(tbl_sales3[[#This Row],[Sale_Date]],"mmmm")</f>
        <v>September</v>
      </c>
      <c r="V286" s="2">
        <f>EOMONTH(tbl_sales3[[#This Row],[Sale_Date]],0)</f>
        <v>45199</v>
      </c>
      <c r="W286" s="1" t="str">
        <f>IF(AND(tbl_sales3[[#This Row],[Sale_Price]]&gt;1000000,tbl_sales3[[#This Row],[Days_on_Market]]&lt;30),"High Demand","Normal")</f>
        <v>Normal</v>
      </c>
    </row>
    <row r="287" spans="1:23" x14ac:dyDescent="0.3">
      <c r="A287" s="1" t="s">
        <v>325</v>
      </c>
      <c r="B287" s="1" t="s">
        <v>26</v>
      </c>
      <c r="C287" s="1" t="s">
        <v>35</v>
      </c>
      <c r="D287">
        <v>1</v>
      </c>
      <c r="E287">
        <v>1</v>
      </c>
      <c r="F287">
        <v>2638</v>
      </c>
      <c r="G287">
        <v>1423759</v>
      </c>
      <c r="H287">
        <v>1399629</v>
      </c>
      <c r="I287" s="2">
        <v>45070</v>
      </c>
      <c r="J287" s="2">
        <v>45104</v>
      </c>
      <c r="K287">
        <v>34</v>
      </c>
      <c r="L287" s="1" t="s">
        <v>53</v>
      </c>
      <c r="M287" s="1" t="s">
        <v>20</v>
      </c>
      <c r="N287">
        <v>0.05</v>
      </c>
      <c r="O287">
        <v>69981.45</v>
      </c>
      <c r="P287">
        <v>-24130</v>
      </c>
      <c r="Q287" t="str">
        <f>IF(tbl_sales3[[#This Row],[Sale_Price]]&lt;500000,"Budget",
IF(tbl_sales3[[#This Row],[Sale_Price]]&lt;1000000,"Mid-Range",
"Luxury"))</f>
        <v>Luxury</v>
      </c>
      <c r="R287" s="4">
        <f>IFERROR(tbl_sales3[[#This Row],[Sale_Price]]*tbl_sales3[[#This Row],[Commission_Rate]],0)</f>
        <v>69981.45</v>
      </c>
      <c r="S287" t="str">
        <f>IF(ABS(tbl_sales3[[#This Row],[Commission_Earned]]-tbl_sales3[[#This Row],[Calculated_Commission]])&lt;0.02,"Correct","Mismatch")</f>
        <v>Correct</v>
      </c>
      <c r="T287">
        <f>YEAR(tbl_sales3[[#This Row],[Sale_Date]])</f>
        <v>2023</v>
      </c>
      <c r="U287" s="1" t="str">
        <f>TEXT(tbl_sales3[[#This Row],[Sale_Date]],"mmmm")</f>
        <v>June</v>
      </c>
      <c r="V287" s="2">
        <f>EOMONTH(tbl_sales3[[#This Row],[Sale_Date]],0)</f>
        <v>45107</v>
      </c>
      <c r="W287" s="1" t="str">
        <f>IF(AND(tbl_sales3[[#This Row],[Sale_Price]]&gt;1000000,tbl_sales3[[#This Row],[Days_on_Market]]&lt;30),"High Demand","Normal")</f>
        <v>Normal</v>
      </c>
    </row>
    <row r="288" spans="1:23" x14ac:dyDescent="0.3">
      <c r="A288" s="1" t="s">
        <v>326</v>
      </c>
      <c r="B288" s="1" t="s">
        <v>48</v>
      </c>
      <c r="C288" s="1" t="s">
        <v>33</v>
      </c>
      <c r="D288">
        <v>4</v>
      </c>
      <c r="E288">
        <v>2</v>
      </c>
      <c r="F288">
        <v>3044</v>
      </c>
      <c r="G288">
        <v>1138779</v>
      </c>
      <c r="H288">
        <v>1087258</v>
      </c>
      <c r="I288" s="2">
        <v>44966</v>
      </c>
      <c r="J288" s="2">
        <v>44979</v>
      </c>
      <c r="K288">
        <v>13</v>
      </c>
      <c r="L288" s="1" t="s">
        <v>42</v>
      </c>
      <c r="M288" s="1" t="s">
        <v>20</v>
      </c>
      <c r="N288">
        <v>0.04</v>
      </c>
      <c r="O288">
        <v>43490.32</v>
      </c>
      <c r="P288">
        <v>-51521</v>
      </c>
      <c r="Q288" t="str">
        <f>IF(tbl_sales3[[#This Row],[Sale_Price]]&lt;500000,"Budget",
IF(tbl_sales3[[#This Row],[Sale_Price]]&lt;1000000,"Mid-Range",
"Luxury"))</f>
        <v>Luxury</v>
      </c>
      <c r="R288" s="4">
        <f>IFERROR(tbl_sales3[[#This Row],[Sale_Price]]*tbl_sales3[[#This Row],[Commission_Rate]],0)</f>
        <v>43490.32</v>
      </c>
      <c r="S288" t="str">
        <f>IF(ABS(tbl_sales3[[#This Row],[Commission_Earned]]-tbl_sales3[[#This Row],[Calculated_Commission]])&lt;0.02,"Correct","Mismatch")</f>
        <v>Correct</v>
      </c>
      <c r="T288">
        <f>YEAR(tbl_sales3[[#This Row],[Sale_Date]])</f>
        <v>2023</v>
      </c>
      <c r="U288" s="1" t="str">
        <f>TEXT(tbl_sales3[[#This Row],[Sale_Date]],"mmmm")</f>
        <v>February</v>
      </c>
      <c r="V288" s="2">
        <f>EOMONTH(tbl_sales3[[#This Row],[Sale_Date]],0)</f>
        <v>44985</v>
      </c>
      <c r="W288" s="1" t="str">
        <f>IF(AND(tbl_sales3[[#This Row],[Sale_Price]]&gt;1000000,tbl_sales3[[#This Row],[Days_on_Market]]&lt;30),"High Demand","Normal")</f>
        <v>High Demand</v>
      </c>
    </row>
    <row r="289" spans="1:23" x14ac:dyDescent="0.3">
      <c r="A289" s="1" t="s">
        <v>327</v>
      </c>
      <c r="B289" s="1" t="s">
        <v>17</v>
      </c>
      <c r="C289" s="1" t="s">
        <v>33</v>
      </c>
      <c r="D289">
        <v>4</v>
      </c>
      <c r="E289">
        <v>3</v>
      </c>
      <c r="F289">
        <v>1477</v>
      </c>
      <c r="G289">
        <v>1188241</v>
      </c>
      <c r="H289">
        <v>1140763</v>
      </c>
      <c r="I289" s="2">
        <v>45157</v>
      </c>
      <c r="J289" s="2">
        <v>45184</v>
      </c>
      <c r="K289">
        <v>27</v>
      </c>
      <c r="L289" s="1" t="s">
        <v>51</v>
      </c>
      <c r="M289" s="1" t="s">
        <v>28</v>
      </c>
      <c r="N289">
        <v>0.04</v>
      </c>
      <c r="O289">
        <v>45630.52</v>
      </c>
      <c r="P289">
        <v>-47478</v>
      </c>
      <c r="Q289" t="str">
        <f>IF(tbl_sales3[[#This Row],[Sale_Price]]&lt;500000,"Budget",
IF(tbl_sales3[[#This Row],[Sale_Price]]&lt;1000000,"Mid-Range",
"Luxury"))</f>
        <v>Luxury</v>
      </c>
      <c r="R289" s="4">
        <f>IFERROR(tbl_sales3[[#This Row],[Sale_Price]]*tbl_sales3[[#This Row],[Commission_Rate]],0)</f>
        <v>45630.520000000004</v>
      </c>
      <c r="S289" t="str">
        <f>IF(ABS(tbl_sales3[[#This Row],[Commission_Earned]]-tbl_sales3[[#This Row],[Calculated_Commission]])&lt;0.02,"Correct","Mismatch")</f>
        <v>Correct</v>
      </c>
      <c r="T289">
        <f>YEAR(tbl_sales3[[#This Row],[Sale_Date]])</f>
        <v>2023</v>
      </c>
      <c r="U289" s="1" t="str">
        <f>TEXT(tbl_sales3[[#This Row],[Sale_Date]],"mmmm")</f>
        <v>September</v>
      </c>
      <c r="V289" s="2">
        <f>EOMONTH(tbl_sales3[[#This Row],[Sale_Date]],0)</f>
        <v>45199</v>
      </c>
      <c r="W289" s="1" t="str">
        <f>IF(AND(tbl_sales3[[#This Row],[Sale_Price]]&gt;1000000,tbl_sales3[[#This Row],[Days_on_Market]]&lt;30),"High Demand","Normal")</f>
        <v>High Demand</v>
      </c>
    </row>
    <row r="290" spans="1:23" x14ac:dyDescent="0.3">
      <c r="A290" s="1" t="s">
        <v>328</v>
      </c>
      <c r="B290" s="1" t="s">
        <v>32</v>
      </c>
      <c r="C290" s="1" t="s">
        <v>35</v>
      </c>
      <c r="D290">
        <v>2</v>
      </c>
      <c r="E290">
        <v>1</v>
      </c>
      <c r="F290">
        <v>2146</v>
      </c>
      <c r="G290">
        <v>1522474</v>
      </c>
      <c r="H290">
        <v>1516293</v>
      </c>
      <c r="I290" s="2">
        <v>45440</v>
      </c>
      <c r="J290" s="2">
        <v>45482</v>
      </c>
      <c r="K290">
        <v>42</v>
      </c>
      <c r="L290" s="1" t="s">
        <v>53</v>
      </c>
      <c r="M290" s="1" t="s">
        <v>24</v>
      </c>
      <c r="N290">
        <v>0.04</v>
      </c>
      <c r="O290">
        <v>60651.72</v>
      </c>
      <c r="P290">
        <v>-6181</v>
      </c>
      <c r="Q290" t="str">
        <f>IF(tbl_sales3[[#This Row],[Sale_Price]]&lt;500000,"Budget",
IF(tbl_sales3[[#This Row],[Sale_Price]]&lt;1000000,"Mid-Range",
"Luxury"))</f>
        <v>Luxury</v>
      </c>
      <c r="R290" s="4">
        <f>IFERROR(tbl_sales3[[#This Row],[Sale_Price]]*tbl_sales3[[#This Row],[Commission_Rate]],0)</f>
        <v>60651.72</v>
      </c>
      <c r="S290" t="str">
        <f>IF(ABS(tbl_sales3[[#This Row],[Commission_Earned]]-tbl_sales3[[#This Row],[Calculated_Commission]])&lt;0.02,"Correct","Mismatch")</f>
        <v>Correct</v>
      </c>
      <c r="T290">
        <f>YEAR(tbl_sales3[[#This Row],[Sale_Date]])</f>
        <v>2024</v>
      </c>
      <c r="U290" s="1" t="str">
        <f>TEXT(tbl_sales3[[#This Row],[Sale_Date]],"mmmm")</f>
        <v>July</v>
      </c>
      <c r="V290" s="2">
        <f>EOMONTH(tbl_sales3[[#This Row],[Sale_Date]],0)</f>
        <v>45504</v>
      </c>
      <c r="W290" s="1" t="str">
        <f>IF(AND(tbl_sales3[[#This Row],[Sale_Price]]&gt;1000000,tbl_sales3[[#This Row],[Days_on_Market]]&lt;30),"High Demand","Normal")</f>
        <v>Normal</v>
      </c>
    </row>
    <row r="291" spans="1:23" x14ac:dyDescent="0.3">
      <c r="A291" s="1" t="s">
        <v>329</v>
      </c>
      <c r="B291" s="1" t="s">
        <v>41</v>
      </c>
      <c r="C291" s="1" t="s">
        <v>18</v>
      </c>
      <c r="D291">
        <v>1</v>
      </c>
      <c r="E291">
        <v>2</v>
      </c>
      <c r="F291">
        <v>3455</v>
      </c>
      <c r="G291">
        <v>978044</v>
      </c>
      <c r="H291">
        <v>922556</v>
      </c>
      <c r="I291" s="2">
        <v>44975</v>
      </c>
      <c r="J291" s="2">
        <v>45042</v>
      </c>
      <c r="K291">
        <v>67</v>
      </c>
      <c r="L291" s="1" t="s">
        <v>39</v>
      </c>
      <c r="M291" s="1" t="s">
        <v>24</v>
      </c>
      <c r="N291">
        <v>0.04</v>
      </c>
      <c r="O291">
        <v>36902.239999999998</v>
      </c>
      <c r="P291">
        <v>-55488</v>
      </c>
      <c r="Q291" t="str">
        <f>IF(tbl_sales3[[#This Row],[Sale_Price]]&lt;500000,"Budget",
IF(tbl_sales3[[#This Row],[Sale_Price]]&lt;1000000,"Mid-Range",
"Luxury"))</f>
        <v>Mid-Range</v>
      </c>
      <c r="R291" s="4">
        <f>IFERROR(tbl_sales3[[#This Row],[Sale_Price]]*tbl_sales3[[#This Row],[Commission_Rate]],0)</f>
        <v>36902.239999999998</v>
      </c>
      <c r="S291" t="str">
        <f>IF(ABS(tbl_sales3[[#This Row],[Commission_Earned]]-tbl_sales3[[#This Row],[Calculated_Commission]])&lt;0.02,"Correct","Mismatch")</f>
        <v>Correct</v>
      </c>
      <c r="T291">
        <f>YEAR(tbl_sales3[[#This Row],[Sale_Date]])</f>
        <v>2023</v>
      </c>
      <c r="U291" s="1" t="str">
        <f>TEXT(tbl_sales3[[#This Row],[Sale_Date]],"mmmm")</f>
        <v>April</v>
      </c>
      <c r="V291" s="2">
        <f>EOMONTH(tbl_sales3[[#This Row],[Sale_Date]],0)</f>
        <v>45046</v>
      </c>
      <c r="W291" s="1" t="str">
        <f>IF(AND(tbl_sales3[[#This Row],[Sale_Price]]&gt;1000000,tbl_sales3[[#This Row],[Days_on_Market]]&lt;30),"High Demand","Normal")</f>
        <v>Normal</v>
      </c>
    </row>
    <row r="292" spans="1:23" x14ac:dyDescent="0.3">
      <c r="A292" s="1" t="s">
        <v>330</v>
      </c>
      <c r="B292" s="1" t="s">
        <v>37</v>
      </c>
      <c r="C292" s="1" t="s">
        <v>35</v>
      </c>
      <c r="D292">
        <v>1</v>
      </c>
      <c r="E292">
        <v>4</v>
      </c>
      <c r="F292">
        <v>935</v>
      </c>
      <c r="G292">
        <v>1075711</v>
      </c>
      <c r="H292">
        <v>999390</v>
      </c>
      <c r="I292" s="2">
        <v>45317</v>
      </c>
      <c r="J292" s="2">
        <v>45385</v>
      </c>
      <c r="K292">
        <v>68</v>
      </c>
      <c r="L292" s="1" t="s">
        <v>27</v>
      </c>
      <c r="M292" s="1" t="s">
        <v>24</v>
      </c>
      <c r="N292">
        <v>0.05</v>
      </c>
      <c r="O292">
        <v>49969.5</v>
      </c>
      <c r="P292">
        <v>-76321</v>
      </c>
      <c r="Q292" t="str">
        <f>IF(tbl_sales3[[#This Row],[Sale_Price]]&lt;500000,"Budget",
IF(tbl_sales3[[#This Row],[Sale_Price]]&lt;1000000,"Mid-Range",
"Luxury"))</f>
        <v>Mid-Range</v>
      </c>
      <c r="R292" s="4">
        <f>IFERROR(tbl_sales3[[#This Row],[Sale_Price]]*tbl_sales3[[#This Row],[Commission_Rate]],0)</f>
        <v>49969.5</v>
      </c>
      <c r="S292" t="str">
        <f>IF(ABS(tbl_sales3[[#This Row],[Commission_Earned]]-tbl_sales3[[#This Row],[Calculated_Commission]])&lt;0.02,"Correct","Mismatch")</f>
        <v>Correct</v>
      </c>
      <c r="T292">
        <f>YEAR(tbl_sales3[[#This Row],[Sale_Date]])</f>
        <v>2024</v>
      </c>
      <c r="U292" s="1" t="str">
        <f>TEXT(tbl_sales3[[#This Row],[Sale_Date]],"mmmm")</f>
        <v>April</v>
      </c>
      <c r="V292" s="2">
        <f>EOMONTH(tbl_sales3[[#This Row],[Sale_Date]],0)</f>
        <v>45412</v>
      </c>
      <c r="W292" s="1" t="str">
        <f>IF(AND(tbl_sales3[[#This Row],[Sale_Price]]&gt;1000000,tbl_sales3[[#This Row],[Days_on_Market]]&lt;30),"High Demand","Normal")</f>
        <v>Normal</v>
      </c>
    </row>
    <row r="293" spans="1:23" x14ac:dyDescent="0.3">
      <c r="A293" s="1" t="s">
        <v>331</v>
      </c>
      <c r="B293" s="1" t="s">
        <v>17</v>
      </c>
      <c r="C293" s="1" t="s">
        <v>35</v>
      </c>
      <c r="D293">
        <v>4</v>
      </c>
      <c r="E293">
        <v>2</v>
      </c>
      <c r="F293">
        <v>765</v>
      </c>
      <c r="G293">
        <v>566783</v>
      </c>
      <c r="H293">
        <v>559697</v>
      </c>
      <c r="I293" s="2">
        <v>45336</v>
      </c>
      <c r="J293" s="2">
        <v>45359</v>
      </c>
      <c r="K293">
        <v>23</v>
      </c>
      <c r="L293" s="1" t="s">
        <v>53</v>
      </c>
      <c r="M293" s="1" t="s">
        <v>28</v>
      </c>
      <c r="N293">
        <v>0.04</v>
      </c>
      <c r="O293">
        <v>22387.88</v>
      </c>
      <c r="P293">
        <v>-7086</v>
      </c>
      <c r="Q293" t="str">
        <f>IF(tbl_sales3[[#This Row],[Sale_Price]]&lt;500000,"Budget",
IF(tbl_sales3[[#This Row],[Sale_Price]]&lt;1000000,"Mid-Range",
"Luxury"))</f>
        <v>Mid-Range</v>
      </c>
      <c r="R293" s="4">
        <f>IFERROR(tbl_sales3[[#This Row],[Sale_Price]]*tbl_sales3[[#This Row],[Commission_Rate]],0)</f>
        <v>22387.88</v>
      </c>
      <c r="S293" t="str">
        <f>IF(ABS(tbl_sales3[[#This Row],[Commission_Earned]]-tbl_sales3[[#This Row],[Calculated_Commission]])&lt;0.02,"Correct","Mismatch")</f>
        <v>Correct</v>
      </c>
      <c r="T293">
        <f>YEAR(tbl_sales3[[#This Row],[Sale_Date]])</f>
        <v>2024</v>
      </c>
      <c r="U293" s="1" t="str">
        <f>TEXT(tbl_sales3[[#This Row],[Sale_Date]],"mmmm")</f>
        <v>March</v>
      </c>
      <c r="V293" s="2">
        <f>EOMONTH(tbl_sales3[[#This Row],[Sale_Date]],0)</f>
        <v>45382</v>
      </c>
      <c r="W293" s="1" t="str">
        <f>IF(AND(tbl_sales3[[#This Row],[Sale_Price]]&gt;1000000,tbl_sales3[[#This Row],[Days_on_Market]]&lt;30),"High Demand","Normal")</f>
        <v>Normal</v>
      </c>
    </row>
    <row r="294" spans="1:23" x14ac:dyDescent="0.3">
      <c r="A294" s="1" t="s">
        <v>332</v>
      </c>
      <c r="B294" s="1" t="s">
        <v>37</v>
      </c>
      <c r="C294" s="1" t="s">
        <v>35</v>
      </c>
      <c r="D294">
        <v>5</v>
      </c>
      <c r="E294">
        <v>2</v>
      </c>
      <c r="F294">
        <v>698</v>
      </c>
      <c r="G294">
        <v>413064</v>
      </c>
      <c r="H294">
        <v>394940</v>
      </c>
      <c r="I294" s="2">
        <v>45525</v>
      </c>
      <c r="J294" s="2">
        <v>45561</v>
      </c>
      <c r="K294">
        <v>36</v>
      </c>
      <c r="L294" s="1" t="s">
        <v>39</v>
      </c>
      <c r="M294" s="1" t="s">
        <v>24</v>
      </c>
      <c r="N294">
        <v>0.04</v>
      </c>
      <c r="O294">
        <v>15797.6</v>
      </c>
      <c r="P294">
        <v>-18124</v>
      </c>
      <c r="Q294" t="str">
        <f>IF(tbl_sales3[[#This Row],[Sale_Price]]&lt;500000,"Budget",
IF(tbl_sales3[[#This Row],[Sale_Price]]&lt;1000000,"Mid-Range",
"Luxury"))</f>
        <v>Budget</v>
      </c>
      <c r="R294" s="4">
        <f>IFERROR(tbl_sales3[[#This Row],[Sale_Price]]*tbl_sales3[[#This Row],[Commission_Rate]],0)</f>
        <v>15797.6</v>
      </c>
      <c r="S294" t="str">
        <f>IF(ABS(tbl_sales3[[#This Row],[Commission_Earned]]-tbl_sales3[[#This Row],[Calculated_Commission]])&lt;0.02,"Correct","Mismatch")</f>
        <v>Correct</v>
      </c>
      <c r="T294">
        <f>YEAR(tbl_sales3[[#This Row],[Sale_Date]])</f>
        <v>2024</v>
      </c>
      <c r="U294" s="1" t="str">
        <f>TEXT(tbl_sales3[[#This Row],[Sale_Date]],"mmmm")</f>
        <v>September</v>
      </c>
      <c r="V294" s="2">
        <f>EOMONTH(tbl_sales3[[#This Row],[Sale_Date]],0)</f>
        <v>45565</v>
      </c>
      <c r="W294" s="1" t="str">
        <f>IF(AND(tbl_sales3[[#This Row],[Sale_Price]]&gt;1000000,tbl_sales3[[#This Row],[Days_on_Market]]&lt;30),"High Demand","Normal")</f>
        <v>Normal</v>
      </c>
    </row>
    <row r="295" spans="1:23" x14ac:dyDescent="0.3">
      <c r="A295" s="1" t="s">
        <v>333</v>
      </c>
      <c r="B295" s="1" t="s">
        <v>22</v>
      </c>
      <c r="C295" s="1" t="s">
        <v>18</v>
      </c>
      <c r="D295">
        <v>3</v>
      </c>
      <c r="E295">
        <v>2</v>
      </c>
      <c r="F295">
        <v>2078</v>
      </c>
      <c r="G295">
        <v>1031381</v>
      </c>
      <c r="H295">
        <v>1026831</v>
      </c>
      <c r="I295" s="2">
        <v>44999</v>
      </c>
      <c r="J295" s="2">
        <v>45030</v>
      </c>
      <c r="K295">
        <v>31</v>
      </c>
      <c r="L295" s="1" t="s">
        <v>30</v>
      </c>
      <c r="M295" s="1" t="s">
        <v>24</v>
      </c>
      <c r="N295">
        <v>4.4999999999999998E-2</v>
      </c>
      <c r="O295">
        <v>46207.39</v>
      </c>
      <c r="P295">
        <v>-4550</v>
      </c>
      <c r="Q295" t="str">
        <f>IF(tbl_sales3[[#This Row],[Sale_Price]]&lt;500000,"Budget",
IF(tbl_sales3[[#This Row],[Sale_Price]]&lt;1000000,"Mid-Range",
"Luxury"))</f>
        <v>Luxury</v>
      </c>
      <c r="R295" s="4">
        <f>IFERROR(tbl_sales3[[#This Row],[Sale_Price]]*tbl_sales3[[#This Row],[Commission_Rate]],0)</f>
        <v>46207.394999999997</v>
      </c>
      <c r="S295" t="str">
        <f>IF(ABS(tbl_sales3[[#This Row],[Commission_Earned]]-tbl_sales3[[#This Row],[Calculated_Commission]])&lt;0.02,"Correct","Mismatch")</f>
        <v>Correct</v>
      </c>
      <c r="T295">
        <f>YEAR(tbl_sales3[[#This Row],[Sale_Date]])</f>
        <v>2023</v>
      </c>
      <c r="U295" s="1" t="str">
        <f>TEXT(tbl_sales3[[#This Row],[Sale_Date]],"mmmm")</f>
        <v>April</v>
      </c>
      <c r="V295" s="2">
        <f>EOMONTH(tbl_sales3[[#This Row],[Sale_Date]],0)</f>
        <v>45046</v>
      </c>
      <c r="W295" s="1" t="str">
        <f>IF(AND(tbl_sales3[[#This Row],[Sale_Price]]&gt;1000000,tbl_sales3[[#This Row],[Days_on_Market]]&lt;30),"High Demand","Normal")</f>
        <v>Normal</v>
      </c>
    </row>
    <row r="296" spans="1:23" x14ac:dyDescent="0.3">
      <c r="A296" s="1" t="s">
        <v>334</v>
      </c>
      <c r="B296" s="1" t="s">
        <v>22</v>
      </c>
      <c r="C296" s="1" t="s">
        <v>23</v>
      </c>
      <c r="D296">
        <v>3</v>
      </c>
      <c r="E296">
        <v>2</v>
      </c>
      <c r="F296">
        <v>996</v>
      </c>
      <c r="G296">
        <v>802637</v>
      </c>
      <c r="H296">
        <v>731043</v>
      </c>
      <c r="I296" s="2">
        <v>45424</v>
      </c>
      <c r="J296" s="2">
        <v>45467</v>
      </c>
      <c r="K296">
        <v>43</v>
      </c>
      <c r="L296" s="1" t="s">
        <v>27</v>
      </c>
      <c r="M296" s="1" t="s">
        <v>20</v>
      </c>
      <c r="N296">
        <v>0.04</v>
      </c>
      <c r="O296">
        <v>29241.72</v>
      </c>
      <c r="P296">
        <v>-71594</v>
      </c>
      <c r="Q296" t="str">
        <f>IF(tbl_sales3[[#This Row],[Sale_Price]]&lt;500000,"Budget",
IF(tbl_sales3[[#This Row],[Sale_Price]]&lt;1000000,"Mid-Range",
"Luxury"))</f>
        <v>Mid-Range</v>
      </c>
      <c r="R296" s="4">
        <f>IFERROR(tbl_sales3[[#This Row],[Sale_Price]]*tbl_sales3[[#This Row],[Commission_Rate]],0)</f>
        <v>29241.72</v>
      </c>
      <c r="S296" t="str">
        <f>IF(ABS(tbl_sales3[[#This Row],[Commission_Earned]]-tbl_sales3[[#This Row],[Calculated_Commission]])&lt;0.02,"Correct","Mismatch")</f>
        <v>Correct</v>
      </c>
      <c r="T296">
        <f>YEAR(tbl_sales3[[#This Row],[Sale_Date]])</f>
        <v>2024</v>
      </c>
      <c r="U296" s="1" t="str">
        <f>TEXT(tbl_sales3[[#This Row],[Sale_Date]],"mmmm")</f>
        <v>June</v>
      </c>
      <c r="V296" s="2">
        <f>EOMONTH(tbl_sales3[[#This Row],[Sale_Date]],0)</f>
        <v>45473</v>
      </c>
      <c r="W296" s="1" t="str">
        <f>IF(AND(tbl_sales3[[#This Row],[Sale_Price]]&gt;1000000,tbl_sales3[[#This Row],[Days_on_Market]]&lt;30),"High Demand","Normal")</f>
        <v>Normal</v>
      </c>
    </row>
    <row r="297" spans="1:23" x14ac:dyDescent="0.3">
      <c r="A297" s="1" t="s">
        <v>335</v>
      </c>
      <c r="B297" s="1" t="s">
        <v>17</v>
      </c>
      <c r="C297" s="1" t="s">
        <v>18</v>
      </c>
      <c r="D297">
        <v>5</v>
      </c>
      <c r="E297">
        <v>2</v>
      </c>
      <c r="F297">
        <v>2648</v>
      </c>
      <c r="G297">
        <v>1034938</v>
      </c>
      <c r="H297">
        <v>1024855</v>
      </c>
      <c r="I297" s="2">
        <v>45554</v>
      </c>
      <c r="J297" s="2">
        <v>45622</v>
      </c>
      <c r="K297">
        <v>68</v>
      </c>
      <c r="L297" s="1" t="s">
        <v>42</v>
      </c>
      <c r="M297" s="1" t="s">
        <v>28</v>
      </c>
      <c r="N297">
        <v>0.04</v>
      </c>
      <c r="O297">
        <v>40994.199999999997</v>
      </c>
      <c r="P297">
        <v>-10083</v>
      </c>
      <c r="Q297" t="str">
        <f>IF(tbl_sales3[[#This Row],[Sale_Price]]&lt;500000,"Budget",
IF(tbl_sales3[[#This Row],[Sale_Price]]&lt;1000000,"Mid-Range",
"Luxury"))</f>
        <v>Luxury</v>
      </c>
      <c r="R297" s="4">
        <f>IFERROR(tbl_sales3[[#This Row],[Sale_Price]]*tbl_sales3[[#This Row],[Commission_Rate]],0)</f>
        <v>40994.200000000004</v>
      </c>
      <c r="S297" t="str">
        <f>IF(ABS(tbl_sales3[[#This Row],[Commission_Earned]]-tbl_sales3[[#This Row],[Calculated_Commission]])&lt;0.02,"Correct","Mismatch")</f>
        <v>Correct</v>
      </c>
      <c r="T297">
        <f>YEAR(tbl_sales3[[#This Row],[Sale_Date]])</f>
        <v>2024</v>
      </c>
      <c r="U297" s="1" t="str">
        <f>TEXT(tbl_sales3[[#This Row],[Sale_Date]],"mmmm")</f>
        <v>November</v>
      </c>
      <c r="V297" s="2">
        <f>EOMONTH(tbl_sales3[[#This Row],[Sale_Date]],0)</f>
        <v>45626</v>
      </c>
      <c r="W297" s="1" t="str">
        <f>IF(AND(tbl_sales3[[#This Row],[Sale_Price]]&gt;1000000,tbl_sales3[[#This Row],[Days_on_Market]]&lt;30),"High Demand","Normal")</f>
        <v>Normal</v>
      </c>
    </row>
    <row r="298" spans="1:23" x14ac:dyDescent="0.3">
      <c r="A298" s="1" t="s">
        <v>336</v>
      </c>
      <c r="B298" s="1" t="s">
        <v>37</v>
      </c>
      <c r="C298" s="1" t="s">
        <v>38</v>
      </c>
      <c r="D298">
        <v>4</v>
      </c>
      <c r="E298">
        <v>2</v>
      </c>
      <c r="F298">
        <v>2797</v>
      </c>
      <c r="G298">
        <v>958843</v>
      </c>
      <c r="H298">
        <v>938473</v>
      </c>
      <c r="I298" s="2">
        <v>45581</v>
      </c>
      <c r="J298" s="2">
        <v>45653</v>
      </c>
      <c r="K298">
        <v>72</v>
      </c>
      <c r="L298" s="1" t="s">
        <v>53</v>
      </c>
      <c r="M298" s="1" t="s">
        <v>24</v>
      </c>
      <c r="N298">
        <v>4.4999999999999998E-2</v>
      </c>
      <c r="O298">
        <v>42231.28</v>
      </c>
      <c r="P298">
        <v>-20370</v>
      </c>
      <c r="Q298" t="str">
        <f>IF(tbl_sales3[[#This Row],[Sale_Price]]&lt;500000,"Budget",
IF(tbl_sales3[[#This Row],[Sale_Price]]&lt;1000000,"Mid-Range",
"Luxury"))</f>
        <v>Mid-Range</v>
      </c>
      <c r="R298" s="4">
        <f>IFERROR(tbl_sales3[[#This Row],[Sale_Price]]*tbl_sales3[[#This Row],[Commission_Rate]],0)</f>
        <v>42231.284999999996</v>
      </c>
      <c r="S298" t="str">
        <f>IF(ABS(tbl_sales3[[#This Row],[Commission_Earned]]-tbl_sales3[[#This Row],[Calculated_Commission]])&lt;0.02,"Correct","Mismatch")</f>
        <v>Correct</v>
      </c>
      <c r="T298">
        <f>YEAR(tbl_sales3[[#This Row],[Sale_Date]])</f>
        <v>2024</v>
      </c>
      <c r="U298" s="1" t="str">
        <f>TEXT(tbl_sales3[[#This Row],[Sale_Date]],"mmmm")</f>
        <v>December</v>
      </c>
      <c r="V298" s="2">
        <f>EOMONTH(tbl_sales3[[#This Row],[Sale_Date]],0)</f>
        <v>45657</v>
      </c>
      <c r="W298" s="1" t="str">
        <f>IF(AND(tbl_sales3[[#This Row],[Sale_Price]]&gt;1000000,tbl_sales3[[#This Row],[Days_on_Market]]&lt;30),"High Demand","Normal")</f>
        <v>Normal</v>
      </c>
    </row>
    <row r="299" spans="1:23" x14ac:dyDescent="0.3">
      <c r="A299" s="1" t="s">
        <v>337</v>
      </c>
      <c r="B299" s="1" t="s">
        <v>59</v>
      </c>
      <c r="C299" s="1" t="s">
        <v>35</v>
      </c>
      <c r="D299">
        <v>1</v>
      </c>
      <c r="E299">
        <v>3</v>
      </c>
      <c r="F299">
        <v>841</v>
      </c>
      <c r="G299">
        <v>1606785</v>
      </c>
      <c r="H299">
        <v>1579646</v>
      </c>
      <c r="I299" s="2">
        <v>45242</v>
      </c>
      <c r="J299" s="2">
        <v>45258</v>
      </c>
      <c r="K299">
        <v>16</v>
      </c>
      <c r="L299" s="1" t="s">
        <v>30</v>
      </c>
      <c r="M299" s="1" t="s">
        <v>20</v>
      </c>
      <c r="N299">
        <v>0.05</v>
      </c>
      <c r="O299">
        <v>78982.3</v>
      </c>
      <c r="P299">
        <v>-27139</v>
      </c>
      <c r="Q299" t="str">
        <f>IF(tbl_sales3[[#This Row],[Sale_Price]]&lt;500000,"Budget",
IF(tbl_sales3[[#This Row],[Sale_Price]]&lt;1000000,"Mid-Range",
"Luxury"))</f>
        <v>Luxury</v>
      </c>
      <c r="R299" s="4">
        <f>IFERROR(tbl_sales3[[#This Row],[Sale_Price]]*tbl_sales3[[#This Row],[Commission_Rate]],0)</f>
        <v>78982.3</v>
      </c>
      <c r="S299" t="str">
        <f>IF(ABS(tbl_sales3[[#This Row],[Commission_Earned]]-tbl_sales3[[#This Row],[Calculated_Commission]])&lt;0.02,"Correct","Mismatch")</f>
        <v>Correct</v>
      </c>
      <c r="T299">
        <f>YEAR(tbl_sales3[[#This Row],[Sale_Date]])</f>
        <v>2023</v>
      </c>
      <c r="U299" s="1" t="str">
        <f>TEXT(tbl_sales3[[#This Row],[Sale_Date]],"mmmm")</f>
        <v>November</v>
      </c>
      <c r="V299" s="2">
        <f>EOMONTH(tbl_sales3[[#This Row],[Sale_Date]],0)</f>
        <v>45260</v>
      </c>
      <c r="W299" s="1" t="str">
        <f>IF(AND(tbl_sales3[[#This Row],[Sale_Price]]&gt;1000000,tbl_sales3[[#This Row],[Days_on_Market]]&lt;30),"High Demand","Normal")</f>
        <v>High Demand</v>
      </c>
    </row>
    <row r="300" spans="1:23" x14ac:dyDescent="0.3">
      <c r="A300" s="1" t="s">
        <v>338</v>
      </c>
      <c r="B300" s="1" t="s">
        <v>17</v>
      </c>
      <c r="C300" s="1" t="s">
        <v>23</v>
      </c>
      <c r="D300">
        <v>1</v>
      </c>
      <c r="E300">
        <v>4</v>
      </c>
      <c r="F300">
        <v>3084</v>
      </c>
      <c r="G300">
        <v>960291</v>
      </c>
      <c r="H300">
        <v>957705</v>
      </c>
      <c r="I300" s="2">
        <v>45246</v>
      </c>
      <c r="J300" s="2">
        <v>45332</v>
      </c>
      <c r="K300">
        <v>86</v>
      </c>
      <c r="L300" s="1" t="s">
        <v>42</v>
      </c>
      <c r="M300" s="1" t="s">
        <v>24</v>
      </c>
      <c r="N300">
        <v>4.4999999999999998E-2</v>
      </c>
      <c r="O300">
        <v>43096.72</v>
      </c>
      <c r="P300">
        <v>-2586</v>
      </c>
      <c r="Q300" t="str">
        <f>IF(tbl_sales3[[#This Row],[Sale_Price]]&lt;500000,"Budget",
IF(tbl_sales3[[#This Row],[Sale_Price]]&lt;1000000,"Mid-Range",
"Luxury"))</f>
        <v>Mid-Range</v>
      </c>
      <c r="R300" s="4">
        <f>IFERROR(tbl_sales3[[#This Row],[Sale_Price]]*tbl_sales3[[#This Row],[Commission_Rate]],0)</f>
        <v>43096.724999999999</v>
      </c>
      <c r="S300" t="str">
        <f>IF(ABS(tbl_sales3[[#This Row],[Commission_Earned]]-tbl_sales3[[#This Row],[Calculated_Commission]])&lt;0.02,"Correct","Mismatch")</f>
        <v>Correct</v>
      </c>
      <c r="T300">
        <f>YEAR(tbl_sales3[[#This Row],[Sale_Date]])</f>
        <v>2024</v>
      </c>
      <c r="U300" s="1" t="str">
        <f>TEXT(tbl_sales3[[#This Row],[Sale_Date]],"mmmm")</f>
        <v>February</v>
      </c>
      <c r="V300" s="2">
        <f>EOMONTH(tbl_sales3[[#This Row],[Sale_Date]],0)</f>
        <v>45351</v>
      </c>
      <c r="W300" s="1" t="str">
        <f>IF(AND(tbl_sales3[[#This Row],[Sale_Price]]&gt;1000000,tbl_sales3[[#This Row],[Days_on_Market]]&lt;30),"High Demand","Normal")</f>
        <v>Normal</v>
      </c>
    </row>
    <row r="301" spans="1:23" x14ac:dyDescent="0.3">
      <c r="A301" s="1" t="s">
        <v>339</v>
      </c>
      <c r="B301" s="1" t="s">
        <v>32</v>
      </c>
      <c r="C301" s="1" t="s">
        <v>23</v>
      </c>
      <c r="D301">
        <v>3</v>
      </c>
      <c r="E301">
        <v>4</v>
      </c>
      <c r="F301">
        <v>2465</v>
      </c>
      <c r="G301">
        <v>724506</v>
      </c>
      <c r="H301">
        <v>708016</v>
      </c>
      <c r="I301" s="2">
        <v>45280</v>
      </c>
      <c r="J301" s="2">
        <v>45368</v>
      </c>
      <c r="K301">
        <v>88</v>
      </c>
      <c r="L301" s="1" t="s">
        <v>27</v>
      </c>
      <c r="M301" s="1" t="s">
        <v>28</v>
      </c>
      <c r="N301">
        <v>0.04</v>
      </c>
      <c r="O301">
        <v>28320.639999999999</v>
      </c>
      <c r="P301">
        <v>-16490</v>
      </c>
      <c r="Q301" t="str">
        <f>IF(tbl_sales3[[#This Row],[Sale_Price]]&lt;500000,"Budget",
IF(tbl_sales3[[#This Row],[Sale_Price]]&lt;1000000,"Mid-Range",
"Luxury"))</f>
        <v>Mid-Range</v>
      </c>
      <c r="R301" s="4">
        <f>IFERROR(tbl_sales3[[#This Row],[Sale_Price]]*tbl_sales3[[#This Row],[Commission_Rate]],0)</f>
        <v>28320.639999999999</v>
      </c>
      <c r="S301" t="str">
        <f>IF(ABS(tbl_sales3[[#This Row],[Commission_Earned]]-tbl_sales3[[#This Row],[Calculated_Commission]])&lt;0.02,"Correct","Mismatch")</f>
        <v>Correct</v>
      </c>
      <c r="T301">
        <f>YEAR(tbl_sales3[[#This Row],[Sale_Date]])</f>
        <v>2024</v>
      </c>
      <c r="U301" s="1" t="str">
        <f>TEXT(tbl_sales3[[#This Row],[Sale_Date]],"mmmm")</f>
        <v>March</v>
      </c>
      <c r="V301" s="2">
        <f>EOMONTH(tbl_sales3[[#This Row],[Sale_Date]],0)</f>
        <v>45382</v>
      </c>
      <c r="W301" s="1" t="str">
        <f>IF(AND(tbl_sales3[[#This Row],[Sale_Price]]&gt;1000000,tbl_sales3[[#This Row],[Days_on_Market]]&lt;30),"High Demand","Normal")</f>
        <v>Normal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CF3E-B5E5-464D-9E67-45FAE137B0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6A1E4B-4F0C-4E42-A098-000BB656DC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Formulas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Hiruni Malsha Paththini Durage</dc:creator>
  <cp:lastModifiedBy>Hiruni Malsha Paththini Durage</cp:lastModifiedBy>
  <dcterms:created xsi:type="dcterms:W3CDTF">2026-03-12T02:25:41Z</dcterms:created>
  <dcterms:modified xsi:type="dcterms:W3CDTF">2026-03-12T04:19:50Z</dcterms:modified>
</cp:coreProperties>
</file>